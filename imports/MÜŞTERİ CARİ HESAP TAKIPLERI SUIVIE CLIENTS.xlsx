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DOUCHE" sheetId="1" r:id="rId4"/>
    <sheet state="visible" name="HOUARI" sheetId="2" r:id="rId5"/>
    <sheet state="visible" name="YACINE" sheetId="3" r:id="rId6"/>
    <sheet state="visible" name="SOFIANE" sheetId="4" r:id="rId7"/>
    <sheet state="visible" name="KARIM " sheetId="5" r:id="rId8"/>
    <sheet state="visible" name="KEMAL" sheetId="6" r:id="rId9"/>
    <sheet state="visible" name="HANİ" sheetId="7" r:id="rId10"/>
    <sheet state="visible" name="BARIŞ" sheetId="8" r:id="rId11"/>
  </sheets>
  <definedNames/>
  <calcPr/>
  <extLst>
    <ext uri="GoogleSheetsCustomDataVersion2">
      <go:sheetsCustomData xmlns:go="http://customooxmlschemas.google.com/" r:id="rId12" roundtripDataChecksum="zVj7n63RpUnLPf5PsAU42uCEbB2WjuTO+bLlV93y+3g="/>
    </ext>
  </extLst>
</workbook>
</file>

<file path=xl/sharedStrings.xml><?xml version="1.0" encoding="utf-8"?>
<sst xmlns="http://schemas.openxmlformats.org/spreadsheetml/2006/main" count="1073" uniqueCount="392">
  <si>
    <t xml:space="preserve">Tarih      </t>
  </si>
  <si>
    <t xml:space="preserve">Açıklama                </t>
  </si>
  <si>
    <t xml:space="preserve">  Borç (Dvz)</t>
  </si>
  <si>
    <t xml:space="preserve"> Alacak (Dvz)</t>
  </si>
  <si>
    <t xml:space="preserve"> Devir Bakiye(TL)</t>
  </si>
  <si>
    <t xml:space="preserve">Fiş Açıklaması       </t>
  </si>
  <si>
    <t>Toptan Satış (Fatura)</t>
  </si>
  <si>
    <t xml:space="preserve">  </t>
  </si>
  <si>
    <t xml:space="preserve">12,75G  </t>
  </si>
  <si>
    <t xml:space="preserve">21,42+21,42G  </t>
  </si>
  <si>
    <t>Cari Hesap Tahsilat (Kasa)</t>
  </si>
  <si>
    <t xml:space="preserve">12,75G +12,75G  </t>
  </si>
  <si>
    <t xml:space="preserve">21,42+21,42+21,42G  </t>
  </si>
  <si>
    <t xml:space="preserve">12,75+12,75G  </t>
  </si>
  <si>
    <t xml:space="preserve">34,34G +35,8G  </t>
  </si>
  <si>
    <t xml:space="preserve">BON N 0081  </t>
  </si>
  <si>
    <t xml:space="preserve">14,94+16,18G  </t>
  </si>
  <si>
    <t xml:space="preserve">20,91G  </t>
  </si>
  <si>
    <t xml:space="preserve">BON N 0085  </t>
  </si>
  <si>
    <t xml:space="preserve">BON N 0088  </t>
  </si>
  <si>
    <t xml:space="preserve">12,75+12,75+12,75+12,75G  </t>
  </si>
  <si>
    <t xml:space="preserve">BON N 0092  </t>
  </si>
  <si>
    <t xml:space="preserve">BON N 0094  </t>
  </si>
  <si>
    <t xml:space="preserve">BON N 0103  </t>
  </si>
  <si>
    <t xml:space="preserve">TAKSİYLE GİTTİ 3500DA ODENDİ  </t>
  </si>
  <si>
    <t xml:space="preserve">BON N 0116/ KAPIDA TESLIM  </t>
  </si>
  <si>
    <t xml:space="preserve">TAKSİYLE GONDERDİK 1000DA VERDİK  </t>
  </si>
  <si>
    <t xml:space="preserve">BON 0120/ KAPIDA ÖDEME  </t>
  </si>
  <si>
    <t xml:space="preserve">BON N 0009  </t>
  </si>
  <si>
    <t xml:space="preserve">BON N 0011  </t>
  </si>
  <si>
    <t xml:space="preserve">BON N 0015 (SAKFALİ)  </t>
  </si>
  <si>
    <t xml:space="preserve">TAKSIYLE GONDERİLDİ  </t>
  </si>
  <si>
    <t xml:space="preserve">KAZI TOUR  </t>
  </si>
  <si>
    <t xml:space="preserve">BON 0125/ KAPIDA TESLIM  </t>
  </si>
  <si>
    <t xml:space="preserve">BON N 0020  </t>
  </si>
  <si>
    <t xml:space="preserve">BON 0134/ SAKFALI  </t>
  </si>
  <si>
    <t xml:space="preserve">SAKFALI  </t>
  </si>
  <si>
    <t xml:space="preserve">BON N 0006  </t>
  </si>
  <si>
    <t xml:space="preserve">KAZİ TOUR   BON 0048  </t>
  </si>
  <si>
    <t xml:space="preserve">BON N0005  </t>
  </si>
  <si>
    <t xml:space="preserve">SAKFALI BON  0029  </t>
  </si>
  <si>
    <t xml:space="preserve">BON N 0139  </t>
  </si>
  <si>
    <t xml:space="preserve">BON N 0052 TAXİ  </t>
  </si>
  <si>
    <t xml:space="preserve">BON N0007  </t>
  </si>
  <si>
    <t xml:space="preserve">BON 0034  </t>
  </si>
  <si>
    <t xml:space="preserve">KENDISI GELIP ALACAK  </t>
  </si>
  <si>
    <t xml:space="preserve">BON N 0014  </t>
  </si>
  <si>
    <t xml:space="preserve">BON N 21  </t>
  </si>
  <si>
    <t>BON 0168/ KAPIDA TESLIM</t>
  </si>
  <si>
    <t xml:space="preserve">SAKFALI   BON 0041  </t>
  </si>
  <si>
    <t xml:space="preserve">TAKSIYLE GIITI  </t>
  </si>
  <si>
    <t xml:space="preserve">BON N 0065 TAKSI  </t>
  </si>
  <si>
    <t xml:space="preserve">SAKFALI  BON 0046  </t>
  </si>
  <si>
    <t>Perakende Satış (Fatura)</t>
  </si>
  <si>
    <t xml:space="preserve">SAKFALI   BON 0028  </t>
  </si>
  <si>
    <t xml:space="preserve">TAKSİ  BON 0065  </t>
  </si>
  <si>
    <t xml:space="preserve">SAKFALI  BON 0057  </t>
  </si>
  <si>
    <t>BON 0176/ KAPIDA TESLIM</t>
  </si>
  <si>
    <t xml:space="preserve">BON 067    TAKSI  </t>
  </si>
  <si>
    <t xml:space="preserve">BON N0059  </t>
  </si>
  <si>
    <t xml:space="preserve">BON 0069  TAKSİ  </t>
  </si>
  <si>
    <t>BON 0180/ KAPIDA TESLIM</t>
  </si>
  <si>
    <t xml:space="preserve">BON 0075  TAKSI  </t>
  </si>
  <si>
    <t xml:space="preserve">SAKFALI  0043  </t>
  </si>
  <si>
    <t xml:space="preserve">BON N 0101 SAKFALİ  </t>
  </si>
  <si>
    <t xml:space="preserve">SAKFALI  BON 0045  </t>
  </si>
  <si>
    <t xml:space="preserve">TAXI BON N 0080  </t>
  </si>
  <si>
    <t>BON 0183/ KAPIDA TESLIM</t>
  </si>
  <si>
    <t xml:space="preserve">BON 0121/ SAKFALI  </t>
  </si>
  <si>
    <t xml:space="preserve">BON N 0090 TAXİ  </t>
  </si>
  <si>
    <t xml:space="preserve">SAKFALİ   BON 0047  </t>
  </si>
  <si>
    <t>BON 0191/ KAPIDA TESLIM</t>
  </si>
  <si>
    <t xml:space="preserve">BON N 0051 SAKFALİ  </t>
  </si>
  <si>
    <t xml:space="preserve">BON 0123/ SAKFALI  </t>
  </si>
  <si>
    <t xml:space="preserve">BON N 0099  </t>
  </si>
  <si>
    <t xml:space="preserve">BON N 0102  </t>
  </si>
  <si>
    <t xml:space="preserve">BON 0128/ SAKFALI  </t>
  </si>
  <si>
    <t>BON 0194/ KAPIDA TESLIM</t>
  </si>
  <si>
    <t xml:space="preserve">BON N 0072  </t>
  </si>
  <si>
    <t xml:space="preserve">BON 0131/ SAKFALI  </t>
  </si>
  <si>
    <t xml:space="preserve">108+109/ TAKSI  </t>
  </si>
  <si>
    <t>BON 0201/ KAPIDA TESLIM</t>
  </si>
  <si>
    <t xml:space="preserve">BON N 0111+0112/ TAKSI  </t>
  </si>
  <si>
    <t xml:space="preserve">BON 0070 SAKFALİ  </t>
  </si>
  <si>
    <t xml:space="preserve">BON 0076  SAKFALI  </t>
  </si>
  <si>
    <t xml:space="preserve">BON 0114/ TAKSI  </t>
  </si>
  <si>
    <t xml:space="preserve">BON 0136/ SAKFALI  </t>
  </si>
  <si>
    <t>BON 0205/ KAPIDA TESLIM</t>
  </si>
  <si>
    <t xml:space="preserve">BON 0117/ TAKSI  </t>
  </si>
  <si>
    <t xml:space="preserve">BON 0078  SAKFALI  </t>
  </si>
  <si>
    <t xml:space="preserve">BON 0142/ SKFALI  </t>
  </si>
  <si>
    <t xml:space="preserve">SAKFALI BON N 0079  </t>
  </si>
  <si>
    <t>BON 0217/ KAPIDA TESLIM</t>
  </si>
  <si>
    <t xml:space="preserve">BON 0146/ SAKFALI  </t>
  </si>
  <si>
    <t xml:space="preserve">BON 0129/ TAKSI  </t>
  </si>
  <si>
    <t xml:space="preserve">BON 0144/ SAKFALI  </t>
  </si>
  <si>
    <t xml:space="preserve">SAKFALİ BİN N 0089  </t>
  </si>
  <si>
    <t xml:space="preserve">BON N 0143 TAXİ  </t>
  </si>
  <si>
    <t>BON 0221/ KAPIDA TESLIM</t>
  </si>
  <si>
    <t xml:space="preserve">BON N150/ SAKFALI  </t>
  </si>
  <si>
    <t xml:space="preserve">BON N 0093 SAKFALİ  </t>
  </si>
  <si>
    <t xml:space="preserve">BON N 0098 SAKFALI  </t>
  </si>
  <si>
    <t>BON 0228/ KAPIDA TESLIM</t>
  </si>
  <si>
    <t xml:space="preserve">BON 0152/ SAKFALI  </t>
  </si>
  <si>
    <t>BON 0230/ KAPIDA TESLIM</t>
  </si>
  <si>
    <t xml:space="preserve">BON 0153/ SAKFALI  </t>
  </si>
  <si>
    <t xml:space="preserve">BON N 0104 SAKFALİ  </t>
  </si>
  <si>
    <t xml:space="preserve">BON 0105/ SAKFALİ  </t>
  </si>
  <si>
    <t>BON 0236/ KAPIDA TESLIM</t>
  </si>
  <si>
    <t>BON 0179/TAXI</t>
  </si>
  <si>
    <t xml:space="preserve">BON 0106/ SAKFALI  </t>
  </si>
  <si>
    <t>BON 0240/ KAPIDA TESLIM</t>
  </si>
  <si>
    <t>BON 0181/TAXI</t>
  </si>
  <si>
    <t xml:space="preserve">BON 0115/ SAKFALI  </t>
  </si>
  <si>
    <t>BON 0188/TAXI</t>
  </si>
  <si>
    <t xml:space="preserve">SAKFALİ  </t>
  </si>
  <si>
    <t>BON 0245/ KAPIDA TESLIM</t>
  </si>
  <si>
    <t>BON 0196/TAXI</t>
  </si>
  <si>
    <t xml:space="preserve">BON 0159/ SAKFALI  </t>
  </si>
  <si>
    <t>BON 0210/TAXI</t>
  </si>
  <si>
    <t>BON 0250/ KAPIDA TESLIM</t>
  </si>
  <si>
    <t xml:space="preserve">BON 0119/ SAKFALI  </t>
  </si>
  <si>
    <t>BON 0213/TAXI</t>
  </si>
  <si>
    <t xml:space="preserve">BON 0122/ SAKFALI  </t>
  </si>
  <si>
    <t>BON 0261/ KAPIDA TESLIM</t>
  </si>
  <si>
    <t xml:space="preserve">BON 0124/ SAKFALI  </t>
  </si>
  <si>
    <t>kestı</t>
  </si>
  <si>
    <t xml:space="preserve">BON 0127/ SAKFALI  </t>
  </si>
  <si>
    <t xml:space="preserve">BON 0165/ SAKFALI  </t>
  </si>
  <si>
    <t>03.01.2026</t>
  </si>
  <si>
    <t>50.400,00</t>
  </si>
  <si>
    <t>BON 0269/ KAPIDA TESLIM</t>
  </si>
  <si>
    <t xml:space="preserve">BON 0130/ SAKFALI  </t>
  </si>
  <si>
    <t xml:space="preserve">BON 0135/ SAKFALI  </t>
  </si>
  <si>
    <t>BON 0167/ SAKFALI</t>
  </si>
  <si>
    <t>BON 0225/TAXI</t>
  </si>
  <si>
    <t>BON 0272/ KAPIDA TESLIM</t>
  </si>
  <si>
    <t xml:space="preserve">BON N 0140/ SAKFALI  </t>
  </si>
  <si>
    <t>BON 0275/ KAPIDA TESLIM</t>
  </si>
  <si>
    <t xml:space="preserve">BON 0145/ SAKFALI  </t>
  </si>
  <si>
    <t>BON 0227/TAXI</t>
  </si>
  <si>
    <t>BON 0278/ KAPIDA TESLIM</t>
  </si>
  <si>
    <t xml:space="preserve">BON 0149/ SAKFALI  </t>
  </si>
  <si>
    <t xml:space="preserve">BON 0154/ SAKFALI  </t>
  </si>
  <si>
    <t>BON 0232/TAXI</t>
  </si>
  <si>
    <t xml:space="preserve">BON 0156/ SAKFALI  </t>
  </si>
  <si>
    <t>BON 0285/ KAPIDA TESLIM</t>
  </si>
  <si>
    <t>BON 0237/TAXI</t>
  </si>
  <si>
    <t>BON 314/311 KAPIDA TESLIM</t>
  </si>
  <si>
    <t>BON 0242/TAXI</t>
  </si>
  <si>
    <t>BON 171/SAKFALI</t>
  </si>
  <si>
    <t xml:space="preserve">BON 0160/ SAKFALI  </t>
  </si>
  <si>
    <t>BON 0247/TAXI</t>
  </si>
  <si>
    <t>BON 174/SAKFALI</t>
  </si>
  <si>
    <t>BON 0318/ KAPIDA TESLIM</t>
  </si>
  <si>
    <t>BON 0254/TAXI</t>
  </si>
  <si>
    <t xml:space="preserve">BON 0164/ SAKFALI  </t>
  </si>
  <si>
    <t xml:space="preserve">BON 0323/ KAPIDA TESLIM </t>
  </si>
  <si>
    <t>BON 178/SAKFALI</t>
  </si>
  <si>
    <t>BON 0259/TAXI</t>
  </si>
  <si>
    <t>BON 184/SAKFAlı</t>
  </si>
  <si>
    <t>BON 0263/TAXI</t>
  </si>
  <si>
    <t>BON 0267/TAXI</t>
  </si>
  <si>
    <t>BON 186/SAKFAlı</t>
  </si>
  <si>
    <t>BON 0166/SAKFALI</t>
  </si>
  <si>
    <t>BON 0329/ KAPIDA TESLIM</t>
  </si>
  <si>
    <t>BON 0282/TAXI</t>
  </si>
  <si>
    <t>IADE</t>
  </si>
  <si>
    <t>BON 0287/TAXI</t>
  </si>
  <si>
    <t>BON 0290/TAXI</t>
  </si>
  <si>
    <t>BON 0170/SAKFALI</t>
  </si>
  <si>
    <t>BON 0291/TAXI</t>
  </si>
  <si>
    <t>BON 0331 /KAPIDA TESLIM</t>
  </si>
  <si>
    <t>BON 0173/SAKFALI</t>
  </si>
  <si>
    <t>BON 189/SAKFAlı</t>
  </si>
  <si>
    <t>BON 0295/TAXI</t>
  </si>
  <si>
    <t>BON 197/SAKFAlı</t>
  </si>
  <si>
    <t>BON 0175/SAKFALI</t>
  </si>
  <si>
    <t>BON 0296/TAXI</t>
  </si>
  <si>
    <t>BON 199/SAKFAlı</t>
  </si>
  <si>
    <t>BON 0177/SAKFALI</t>
  </si>
  <si>
    <t>BON 0298/TAXI</t>
  </si>
  <si>
    <t>BON 0337 /KAPIDA TESLIM</t>
  </si>
  <si>
    <t>BON 202/SAKFAlı</t>
  </si>
  <si>
    <t>BON 0299/TAXI</t>
  </si>
  <si>
    <t>BON 206/SAKFAlı</t>
  </si>
  <si>
    <t>BON 0185/SAKFALI</t>
  </si>
  <si>
    <t>BON 0341 /KAPIDA TESLIM</t>
  </si>
  <si>
    <t>BON 0187/SAKFALI</t>
  </si>
  <si>
    <t>BON 0301/TAXI</t>
  </si>
  <si>
    <t>BON 0345 /KAPIDA TESLIM</t>
  </si>
  <si>
    <t>BON 0189/SAKFALI</t>
  </si>
  <si>
    <t>BON 211/SAKFAlı</t>
  </si>
  <si>
    <t>BON 0304/TAXI</t>
  </si>
  <si>
    <t>BON 0195/SAKFALI</t>
  </si>
  <si>
    <t>BON 0351 /KAPIDA TESLIM</t>
  </si>
  <si>
    <t>BON 0307/TAXI</t>
  </si>
  <si>
    <t xml:space="preserve">NON VENDU/ RETOUR </t>
  </si>
  <si>
    <t>BON 214/SAKFAlı</t>
  </si>
  <si>
    <t>BON 0198/SAKFALI</t>
  </si>
  <si>
    <t>BON 0355/ KAPIDA TESLIM</t>
  </si>
  <si>
    <t>BON 217/SAKFAlı</t>
  </si>
  <si>
    <t>BON 0203/SAKFALI</t>
  </si>
  <si>
    <t>BON 0313/TAXI</t>
  </si>
  <si>
    <t>BON 0204/SAKFALI</t>
  </si>
  <si>
    <t>BON 220/SAKFAlı</t>
  </si>
  <si>
    <t>BON 0321/TAXI</t>
  </si>
  <si>
    <t>BON 0356/ KAPIDA TESLIM</t>
  </si>
  <si>
    <t>BON 224/SAKFAlı</t>
  </si>
  <si>
    <t>BON 0326/ TAXI</t>
  </si>
  <si>
    <t>BON 230/SAKFAlı</t>
  </si>
  <si>
    <t>BON 0327 / TAXI</t>
  </si>
  <si>
    <t>BON 0212/SAKFALI</t>
  </si>
  <si>
    <t>loewe ıade</t>
  </si>
  <si>
    <t>BON 233/SAKFAlı</t>
  </si>
  <si>
    <t>BON 0328 / TAXI</t>
  </si>
  <si>
    <t>BON 0216/SAKFALI</t>
  </si>
  <si>
    <t>BON 0333 TAXI</t>
  </si>
  <si>
    <t>BON 0374/ KAPIDA TESLIM</t>
  </si>
  <si>
    <t>BON 0219/SAKFALI</t>
  </si>
  <si>
    <t>BON 0334/ TAXI</t>
  </si>
  <si>
    <t>BON 0380/ KAPIDA TESLIM</t>
  </si>
  <si>
    <t>BON 238/SAKFAlı</t>
  </si>
  <si>
    <t>BON 0234/SAKFALI</t>
  </si>
  <si>
    <t>BON 0335/ TAXI</t>
  </si>
  <si>
    <t>bon 0382/kapida teslim</t>
  </si>
  <si>
    <t>BON 0338/ TAXI</t>
  </si>
  <si>
    <t>BON 0243/SAKFALI</t>
  </si>
  <si>
    <t>BON 0339/ TAXI</t>
  </si>
  <si>
    <t>BON 0388/ KAPIDA TESLIM</t>
  </si>
  <si>
    <t>BON 0239/SAKFALI</t>
  </si>
  <si>
    <t>BON 0248/SAKFALI</t>
  </si>
  <si>
    <t xml:space="preserve">BON 343/ TAXI </t>
  </si>
  <si>
    <t>BON 0244/SAKFALI</t>
  </si>
  <si>
    <t>BON 0391/ KAPIDA TESLIM</t>
  </si>
  <si>
    <t>BON 0246/SAKFALI</t>
  </si>
  <si>
    <t xml:space="preserve">BON 347/ TAXI </t>
  </si>
  <si>
    <t>BON 0252/SAKFALI</t>
  </si>
  <si>
    <t>BON 0249/SAKFALI</t>
  </si>
  <si>
    <t>BON 0397/ KAPIDA TESLIM</t>
  </si>
  <si>
    <t xml:space="preserve">BON 349/ TAXI </t>
  </si>
  <si>
    <t>BON 0258/SAKFALI</t>
  </si>
  <si>
    <t>BON 0256/SAKFALI</t>
  </si>
  <si>
    <t>BON 0354/ TAXI</t>
  </si>
  <si>
    <t>BON 0402/ KAPIDA TESLIM</t>
  </si>
  <si>
    <t>BON 0264/SAKFALI</t>
  </si>
  <si>
    <t>BON 0357/TAXI</t>
  </si>
  <si>
    <t>BON 0260/SAKFALI</t>
  </si>
  <si>
    <t>BON 0407/ KAPIDA TESLIM</t>
  </si>
  <si>
    <t>BON 0266/SAKFALI</t>
  </si>
  <si>
    <t>BON 0262/SAKFALI</t>
  </si>
  <si>
    <t>BON  0408/ KAPIDA TESLIM</t>
  </si>
  <si>
    <t>BON 0359/TAXI</t>
  </si>
  <si>
    <t>BON 0268/SAKFALI</t>
  </si>
  <si>
    <t>BON 0366/ TAXI</t>
  </si>
  <si>
    <t>BON  0414/ KAPIDA TESLIM</t>
  </si>
  <si>
    <t>BON 0271/SAKFALI</t>
  </si>
  <si>
    <t>BON 0367/ TAXI</t>
  </si>
  <si>
    <t>BON 0370/TAXI</t>
  </si>
  <si>
    <t>BON  0428/ KAPIDA TESLIM</t>
  </si>
  <si>
    <t>BON 0280/SAKFALI</t>
  </si>
  <si>
    <t>BON 0373/TAXI</t>
  </si>
  <si>
    <t>BON 0270/SAKFALI</t>
  </si>
  <si>
    <t>b16 iplik</t>
  </si>
  <si>
    <t>BON  0431/ KAPIDA TESLIM</t>
  </si>
  <si>
    <t>BON 0283/SAKFALI</t>
  </si>
  <si>
    <t>BON 0273/SAKFALI</t>
  </si>
  <si>
    <t>BON 0376/TAXI</t>
  </si>
  <si>
    <t>BON 0274/SAKFALI</t>
  </si>
  <si>
    <t>BON 0286/SAKFALI</t>
  </si>
  <si>
    <t>BON 0276/SAKFALI</t>
  </si>
  <si>
    <t>BON 0288/SAKFALI</t>
  </si>
  <si>
    <t>BON 0381/TAXI</t>
  </si>
  <si>
    <t>BON 0279/SAKFALI</t>
  </si>
  <si>
    <t>BON 0394/TAXI</t>
  </si>
  <si>
    <t>BON 0281/SAKFALI</t>
  </si>
  <si>
    <t>BON 0396/TAXI</t>
  </si>
  <si>
    <t>BON 0289/SAKFALI</t>
  </si>
  <si>
    <t>BON 0398/TAXI</t>
  </si>
  <si>
    <t>BON 0294/SAKFALI</t>
  </si>
  <si>
    <t>BON 0401/TAXI</t>
  </si>
  <si>
    <t>BON 0405/TAXI</t>
  </si>
  <si>
    <t>BON 0300/SAKFALI</t>
  </si>
  <si>
    <t>BON 0302/SAKFALI</t>
  </si>
  <si>
    <t>BON 0306/SAKFALI</t>
  </si>
  <si>
    <t>BON 0411/ TAXI</t>
  </si>
  <si>
    <t>BON 0305/SAKFALI</t>
  </si>
  <si>
    <t>BON 0417/ TAXI</t>
  </si>
  <si>
    <t>BON 0308/SAKFALI</t>
  </si>
  <si>
    <t>BON 0309/SAKFALI</t>
  </si>
  <si>
    <t>BON 0420/ TAXI</t>
  </si>
  <si>
    <t>BON 0312/SAKFALI</t>
  </si>
  <si>
    <t>BON 0315/ SAKFALI</t>
  </si>
  <si>
    <t>BON 0421/ TAXI</t>
  </si>
  <si>
    <t>BON 0316/ SAKFALI</t>
  </si>
  <si>
    <t>BON 0427/ TAXI</t>
  </si>
  <si>
    <t>ıade</t>
  </si>
  <si>
    <t>BON 0319/ SAKFALI</t>
  </si>
  <si>
    <t>toptan Satış (Fatura)</t>
  </si>
  <si>
    <t>BON 0324/ SAKFALI</t>
  </si>
  <si>
    <t>BON 0317/SAKFALI</t>
  </si>
  <si>
    <t>BON 0429/ TAXI</t>
  </si>
  <si>
    <t>BON 0320/SAKFALI</t>
  </si>
  <si>
    <t>BON 0430/ TAXI</t>
  </si>
  <si>
    <t>BON 0325/ SAKFALI</t>
  </si>
  <si>
    <t>BON 0432/ TAXI</t>
  </si>
  <si>
    <t>BON 04/ TAXI</t>
  </si>
  <si>
    <t>BON 0330/  SAKFALI</t>
  </si>
  <si>
    <t>BON 0332/ SAKFALI</t>
  </si>
  <si>
    <t>BON 0340/ SAKFALI</t>
  </si>
  <si>
    <t>14/04/2026T</t>
  </si>
  <si>
    <t>BON 0336/  SAKFALI</t>
  </si>
  <si>
    <t>BON 0344/  SAKFALI</t>
  </si>
  <si>
    <t>stok</t>
  </si>
  <si>
    <t>BON 0342/ SAKFALI</t>
  </si>
  <si>
    <t>BON 0346/  SAKFALI</t>
  </si>
  <si>
    <t>BON 0348/  SAKFALI</t>
  </si>
  <si>
    <t>BON 0350/ SAKFALI</t>
  </si>
  <si>
    <t>BON 0352/SAKFALI</t>
  </si>
  <si>
    <t>BON 0356/ SAKFALI</t>
  </si>
  <si>
    <t>BON 0353/SAKFALI</t>
  </si>
  <si>
    <t>BON 0360/SAKFALI</t>
  </si>
  <si>
    <t>BON 0357/ SAKFALI</t>
  </si>
  <si>
    <t>BON 0365/ SAKFALI</t>
  </si>
  <si>
    <t>BON 0362/ SAKFALI</t>
  </si>
  <si>
    <t>BON 0363/ SAKFALI</t>
  </si>
  <si>
    <t>BON 0375/ SAKFALI</t>
  </si>
  <si>
    <t>30/04/2026T</t>
  </si>
  <si>
    <t>BON 0377/ SAKFALI</t>
  </si>
  <si>
    <t>BON 0378/ SAKFALI</t>
  </si>
  <si>
    <t>BON 0383/ SAKFALI</t>
  </si>
  <si>
    <t>BON 0379/ SAKFALI</t>
  </si>
  <si>
    <t>BON 0385/ SAKFALI</t>
  </si>
  <si>
    <t>BON 0399/ SAKFALI</t>
  </si>
  <si>
    <t>BON 0389/ SAKFALI</t>
  </si>
  <si>
    <t>BON 0390/ SAKFALI</t>
  </si>
  <si>
    <t>BON 0403/ SAKFALI</t>
  </si>
  <si>
    <t>BON 0409/BIZZAT ALDI</t>
  </si>
  <si>
    <t>BON 0392/SAKFALI</t>
  </si>
  <si>
    <t>BON 0393/ SAKFALI</t>
  </si>
  <si>
    <t>BON 0395/ SAKFALI</t>
  </si>
  <si>
    <t>BON 0415/SAKFALI</t>
  </si>
  <si>
    <t>BON 0400/ SAKFALI</t>
  </si>
  <si>
    <t>BON 0418/SAKFALI</t>
  </si>
  <si>
    <t>BON 0419/SAKFALI</t>
  </si>
  <si>
    <t>BON 0422/SAKFALI</t>
  </si>
  <si>
    <t>BON 0424/ SAKFALI</t>
  </si>
  <si>
    <t>BON 0423/SAKFALI</t>
  </si>
  <si>
    <t>iade mallar toplamı</t>
  </si>
  <si>
    <t>BON 208/ KAPIDA TESLIM</t>
  </si>
  <si>
    <t>ÖDENDİ</t>
  </si>
  <si>
    <t>BON 215/KAPIDA TESLIM</t>
  </si>
  <si>
    <t>BON 226/KAPIDA TESLILM</t>
  </si>
  <si>
    <t>BON 235/KAPIDA TESLIM</t>
  </si>
  <si>
    <t>BON 251/KAPIDA TESLIM</t>
  </si>
  <si>
    <t>BON 253/KAPIDA TESLIM</t>
  </si>
  <si>
    <t>BON 265 /KAPIDA TESLIM</t>
  </si>
  <si>
    <t>BON293/KAPIDA TESLIM</t>
  </si>
  <si>
    <t>BON 297/ KAPIDA TESLIM</t>
  </si>
  <si>
    <t>BON 310/KAPIDA TESLIM</t>
  </si>
  <si>
    <t>IADE YAPTI</t>
  </si>
  <si>
    <t>BON 361/KAPIDA TESLIM</t>
  </si>
  <si>
    <t>BON 364/KAPIDA TESLIM</t>
  </si>
  <si>
    <t>BON 368/KAPIDA TESLIM</t>
  </si>
  <si>
    <t xml:space="preserve">BON371/ KAPIDA TESLIM </t>
  </si>
  <si>
    <t xml:space="preserve">21,42+21,42+21,42+21,42G  </t>
  </si>
  <si>
    <t xml:space="preserve">19,27+19,57G  </t>
  </si>
  <si>
    <t xml:space="preserve">BON 0126/ ŞİRKETE TESLİM  </t>
  </si>
  <si>
    <t xml:space="preserve">BON 0132/ŞİRKETE TESLİM  </t>
  </si>
  <si>
    <t xml:space="preserve">BON 0133/ KAPIDA TESLİM  </t>
  </si>
  <si>
    <t xml:space="preserve">BON N0138/ KAPİDA TESLİM  </t>
  </si>
  <si>
    <t xml:space="preserve">BON 0147/ KAPİDA TESLİM  </t>
  </si>
  <si>
    <t xml:space="preserve">BON 0148/ KAPIDA TESLİM  </t>
  </si>
  <si>
    <t xml:space="preserve">BON N 0016 (SAKFALI)  </t>
  </si>
  <si>
    <t xml:space="preserve">BON N 0023  </t>
  </si>
  <si>
    <t xml:space="preserve">BON 0151/ BOUMERDES'E TESLİM  </t>
  </si>
  <si>
    <t xml:space="preserve">BON N155/ BOUMERDESE TESLIM  </t>
  </si>
  <si>
    <t xml:space="preserve">SAKFALI BON 0042  </t>
  </si>
  <si>
    <t xml:space="preserve">BON 0163/ TAKSIYLE BOUMERDES'E TESLİM  </t>
  </si>
  <si>
    <t xml:space="preserve">BON 0162/ TAKSIYLE BOUMERDES'E TESLİM  </t>
  </si>
  <si>
    <t xml:space="preserve">BON N 0049  </t>
  </si>
  <si>
    <t xml:space="preserve">BON 0161/ TAKSIYLE BOUMERDES'E TESLŞM  </t>
  </si>
  <si>
    <t xml:space="preserve">SAKFALI  BON 0056  </t>
  </si>
  <si>
    <t xml:space="preserve">BON N 0060  </t>
  </si>
  <si>
    <t xml:space="preserve">SAKFALİ BON N 0084  </t>
  </si>
  <si>
    <t xml:space="preserve">BON N 0087  </t>
  </si>
  <si>
    <t xml:space="preserve">BON 0107/ SAKFALI  </t>
  </si>
  <si>
    <t xml:space="preserve">BON  0113/ SAKFALI  </t>
  </si>
  <si>
    <t xml:space="preserve">BON 0132/ SAKFALI  </t>
  </si>
  <si>
    <t xml:space="preserve">BON 0137/ SAKFALI  </t>
  </si>
  <si>
    <t>BON 0172/ SAKFALI</t>
  </si>
  <si>
    <t>BON 0207/ SAKFALI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</si>
</sst>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\.mm\.yyyy"/>
    <numFmt numFmtId="165" formatCode="#,##0.00;[Red]\-#,##0.00;\ \ "/>
    <numFmt numFmtId="166" formatCode="dd.MM.yyyy"/>
    <numFmt numFmtId="167" formatCode="_-* #,##0.00_-;\-* #,##0.00_-;_-* &quot;-&quot;??_-;_-@"/>
    <numFmt numFmtId="168" formatCode="dd/mm/yyyy"/>
    <numFmt numFmtId="169" formatCode="#,##0.00;(#,##0.00)"/>
    <numFmt numFmtId="170" formatCode="dd.mm.yyyy"/>
  </numFmts>
  <fonts count="1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0.0"/>
      <color theme="1"/>
      <name val="Arial"/>
    </font>
    <font>
      <color rgb="FF000000"/>
      <name val="Calibri"/>
      <scheme val="minor"/>
    </font>
    <font>
      <b/>
      <color rgb="FFFF0000"/>
      <name val="Calibri"/>
      <scheme val="minor"/>
    </font>
    <font>
      <b/>
      <sz val="11.0"/>
      <color rgb="FFFF0000"/>
      <name val="Calibri"/>
    </font>
    <font>
      <color theme="1"/>
      <name val="Arial"/>
    </font>
    <font>
      <b/>
      <sz val="10.0"/>
      <color rgb="FFFF0000"/>
      <name val="Arial"/>
    </font>
    <font>
      <sz val="11.0"/>
      <color rgb="FF000000"/>
      <name val="Calibri"/>
    </font>
    <font>
      <sz val="10.0"/>
      <color rgb="FF000000"/>
      <name val="Arial"/>
    </font>
    <font>
      <b/>
      <sz val="12.0"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  <fill>
      <patternFill patternType="solid">
        <fgColor rgb="FFCCCCFF"/>
        <bgColor rgb="FFCCCCFF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8">
    <border/>
    <border>
      <left/>
      <right/>
      <top/>
      <bottom/>
    </border>
    <border>
      <left/>
      <top/>
      <bottom/>
    </border>
    <border>
      <left/>
      <right/>
      <top style="thin">
        <color rgb="FF8EAADB"/>
      </top>
      <bottom style="thin">
        <color rgb="FF8EAADB"/>
      </bottom>
    </border>
    <border>
      <top style="double">
        <color theme="4"/>
      </top>
      <bottom style="thin">
        <color rgb="FF8EAADB"/>
      </bottom>
    </border>
    <border>
      <left style="thin">
        <color rgb="FF8EAADB"/>
      </left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 vertical="center"/>
    </xf>
    <xf borderId="1" fillId="3" fontId="2" numFmtId="164" xfId="0" applyAlignment="1" applyBorder="1" applyFill="1" applyFont="1" applyNumberFormat="1">
      <alignment horizontal="left"/>
    </xf>
    <xf borderId="0" fillId="0" fontId="2" numFmtId="164" xfId="0" applyAlignment="1" applyFont="1" applyNumberFormat="1">
      <alignment horizontal="left"/>
    </xf>
    <xf borderId="1" fillId="3" fontId="2" numFmtId="49" xfId="0" applyAlignment="1" applyBorder="1" applyFont="1" applyNumberFormat="1">
      <alignment horizontal="left"/>
    </xf>
    <xf borderId="0" fillId="0" fontId="2" numFmtId="49" xfId="0" applyAlignment="1" applyFont="1" applyNumberFormat="1">
      <alignment horizontal="left"/>
    </xf>
    <xf borderId="1" fillId="3" fontId="2" numFmtId="165" xfId="0" applyAlignment="1" applyBorder="1" applyFont="1" applyNumberFormat="1">
      <alignment horizontal="right"/>
    </xf>
    <xf borderId="0" fillId="0" fontId="2" numFmtId="165" xfId="0" applyAlignment="1" applyFont="1" applyNumberFormat="1">
      <alignment horizontal="right"/>
    </xf>
    <xf borderId="0" fillId="0" fontId="2" numFmtId="49" xfId="0" applyAlignment="1" applyFont="1" applyNumberFormat="1">
      <alignment horizontal="center" vertical="center"/>
    </xf>
    <xf borderId="1" fillId="3" fontId="2" numFmtId="49" xfId="0" applyAlignment="1" applyBorder="1" applyFont="1" applyNumberFormat="1">
      <alignment horizontal="center" vertical="center"/>
    </xf>
    <xf borderId="1" fillId="2" fontId="1" numFmtId="0" xfId="0" applyBorder="1" applyFont="1"/>
    <xf borderId="1" fillId="2" fontId="1" numFmtId="0" xfId="0" applyAlignment="1" applyBorder="1" applyFont="1">
      <alignment horizontal="center" vertical="center"/>
    </xf>
    <xf borderId="1" fillId="3" fontId="2" numFmtId="164" xfId="0" applyAlignment="1" applyBorder="1" applyFont="1" applyNumberFormat="1">
      <alignment horizontal="left"/>
    </xf>
    <xf borderId="1" fillId="3" fontId="2" numFmtId="49" xfId="0" applyAlignment="1" applyBorder="1" applyFont="1" applyNumberFormat="1">
      <alignment horizontal="left"/>
    </xf>
    <xf borderId="1" fillId="3" fontId="2" numFmtId="165" xfId="0" applyAlignment="1" applyBorder="1" applyFont="1" applyNumberFormat="1">
      <alignment horizontal="right"/>
    </xf>
    <xf borderId="1" fillId="3" fontId="2" numFmtId="49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left"/>
    </xf>
    <xf borderId="0" fillId="0" fontId="2" numFmtId="49" xfId="0" applyAlignment="1" applyFont="1" applyNumberFormat="1">
      <alignment horizontal="left"/>
    </xf>
    <xf borderId="0" fillId="0" fontId="2" numFmtId="165" xfId="0" applyAlignment="1" applyFont="1" applyNumberFormat="1">
      <alignment horizontal="right"/>
    </xf>
    <xf borderId="0" fillId="0" fontId="2" numFmtId="49" xfId="0" applyAlignment="1" applyFont="1" applyNumberFormat="1">
      <alignment horizontal="center" vertical="center"/>
    </xf>
    <xf borderId="0" fillId="0" fontId="3" numFmtId="166" xfId="0" applyFont="1" applyNumberFormat="1"/>
    <xf borderId="1" fillId="3" fontId="2" numFmtId="167" xfId="0" applyAlignment="1" applyBorder="1" applyFont="1" applyNumberFormat="1">
      <alignment horizontal="right"/>
    </xf>
    <xf borderId="0" fillId="0" fontId="3" numFmtId="167" xfId="0" applyFont="1" applyNumberFormat="1"/>
    <xf borderId="0" fillId="0" fontId="4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1" fillId="3" fontId="2" numFmtId="49" xfId="0" applyAlignment="1" applyBorder="1" applyFont="1" applyNumberFormat="1">
      <alignment horizontal="left" readingOrder="0"/>
    </xf>
    <xf borderId="0" fillId="0" fontId="4" numFmtId="168" xfId="0" applyAlignment="1" applyFont="1" applyNumberFormat="1">
      <alignment readingOrder="0"/>
    </xf>
    <xf borderId="2" fillId="3" fontId="2" numFmtId="49" xfId="0" applyAlignment="1" applyBorder="1" applyFont="1" applyNumberFormat="1">
      <alignment horizontal="left"/>
    </xf>
    <xf borderId="0" fillId="3" fontId="4" numFmtId="169" xfId="0" applyAlignment="1" applyFont="1" applyNumberFormat="1">
      <alignment readingOrder="0"/>
    </xf>
    <xf borderId="0" fillId="3" fontId="4" numFmtId="169" xfId="0" applyFont="1" applyNumberFormat="1"/>
    <xf borderId="0" fillId="3" fontId="2" numFmtId="165" xfId="0" applyAlignment="1" applyFont="1" applyNumberFormat="1">
      <alignment horizontal="right"/>
    </xf>
    <xf borderId="0" fillId="3" fontId="4" numFmtId="0" xfId="0" applyAlignment="1" applyFont="1">
      <alignment readingOrder="0"/>
    </xf>
    <xf borderId="0" fillId="0" fontId="4" numFmtId="169" xfId="0" applyFont="1" applyNumberFormat="1"/>
    <xf borderId="0" fillId="0" fontId="4" numFmtId="16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2" numFmtId="165" xfId="0" applyAlignment="1" applyFont="1" applyNumberFormat="1">
      <alignment horizontal="right" readingOrder="0"/>
    </xf>
    <xf borderId="1" fillId="4" fontId="3" numFmtId="166" xfId="0" applyBorder="1" applyFill="1" applyFont="1" applyNumberFormat="1"/>
    <xf borderId="3" fillId="4" fontId="2" numFmtId="49" xfId="0" applyAlignment="1" applyBorder="1" applyFont="1" applyNumberFormat="1">
      <alignment horizontal="left"/>
    </xf>
    <xf borderId="1" fillId="4" fontId="3" numFmtId="167" xfId="0" applyBorder="1" applyFont="1" applyNumberFormat="1"/>
    <xf borderId="1" fillId="4" fontId="2" numFmtId="165" xfId="0" applyAlignment="1" applyBorder="1" applyFont="1" applyNumberFormat="1">
      <alignment horizontal="right"/>
    </xf>
    <xf borderId="1" fillId="4" fontId="3" numFmtId="0" xfId="0" applyAlignment="1" applyBorder="1" applyFont="1">
      <alignment horizontal="center" vertical="center"/>
    </xf>
    <xf borderId="0" fillId="0" fontId="3" numFmtId="166" xfId="0" applyAlignment="1" applyFont="1" applyNumberFormat="1">
      <alignment horizontal="left" readingOrder="0" vertical="center"/>
    </xf>
    <xf borderId="0" fillId="0" fontId="4" numFmtId="170" xfId="0" applyAlignment="1" applyFont="1" applyNumberFormat="1">
      <alignment readingOrder="0"/>
    </xf>
    <xf borderId="0" fillId="3" fontId="3" numFmtId="167" xfId="0" applyAlignment="1" applyFont="1" applyNumberFormat="1">
      <alignment readingOrder="0"/>
    </xf>
    <xf borderId="0" fillId="3" fontId="3" numFmtId="167" xfId="0" applyFont="1" applyNumberFormat="1"/>
    <xf borderId="4" fillId="0" fontId="5" numFmtId="49" xfId="0" applyAlignment="1" applyBorder="1" applyFont="1" applyNumberFormat="1">
      <alignment horizontal="left"/>
    </xf>
    <xf borderId="0" fillId="3" fontId="6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166" xfId="0" applyAlignment="1" applyFont="1" applyNumberFormat="1">
      <alignment readingOrder="0"/>
    </xf>
    <xf borderId="0" fillId="0" fontId="3" numFmtId="166" xfId="0" applyAlignment="1" applyFont="1" applyNumberFormat="1">
      <alignment horizontal="left" vertical="center"/>
    </xf>
    <xf borderId="0" fillId="5" fontId="7" numFmtId="170" xfId="0" applyAlignment="1" applyFill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5" fontId="7" numFmtId="0" xfId="0" applyAlignment="1" applyFont="1">
      <alignment readingOrder="0"/>
    </xf>
    <xf borderId="0" fillId="5" fontId="8" numFmtId="167" xfId="0" applyAlignment="1" applyFont="1" applyNumberFormat="1">
      <alignment readingOrder="0"/>
    </xf>
    <xf borderId="3" fillId="4" fontId="9" numFmtId="49" xfId="0" applyAlignment="1" applyBorder="1" applyFont="1" applyNumberFormat="1">
      <alignment vertical="bottom"/>
    </xf>
    <xf borderId="0" fillId="5" fontId="8" numFmtId="167" xfId="0" applyFont="1" applyNumberFormat="1"/>
    <xf borderId="1" fillId="4" fontId="3" numFmtId="165" xfId="0" applyBorder="1" applyFont="1" applyNumberFormat="1"/>
    <xf borderId="0" fillId="6" fontId="3" numFmtId="167" xfId="0" applyAlignment="1" applyFill="1" applyFont="1" applyNumberFormat="1">
      <alignment readingOrder="0"/>
    </xf>
    <xf borderId="0" fillId="5" fontId="10" numFmtId="165" xfId="0" applyAlignment="1" applyFont="1" applyNumberFormat="1">
      <alignment horizontal="right"/>
    </xf>
    <xf borderId="0" fillId="0" fontId="3" numFmtId="165" xfId="0" applyFont="1" applyNumberFormat="1"/>
    <xf borderId="0" fillId="7" fontId="6" numFmtId="168" xfId="0" applyAlignment="1" applyFill="1" applyFont="1" applyNumberFormat="1">
      <alignment readingOrder="0"/>
    </xf>
    <xf borderId="0" fillId="7" fontId="6" numFmtId="0" xfId="0" applyAlignment="1" applyFont="1">
      <alignment readingOrder="0"/>
    </xf>
    <xf borderId="0" fillId="7" fontId="11" numFmtId="167" xfId="0" applyAlignment="1" applyFont="1" applyNumberFormat="1">
      <alignment readingOrder="0"/>
    </xf>
    <xf borderId="0" fillId="7" fontId="11" numFmtId="167" xfId="0" applyFont="1" applyNumberFormat="1"/>
    <xf borderId="0" fillId="7" fontId="12" numFmtId="165" xfId="0" applyAlignment="1" applyFont="1" applyNumberFormat="1">
      <alignment horizontal="right"/>
    </xf>
    <xf borderId="0" fillId="0" fontId="6" numFmtId="0" xfId="0" applyFont="1"/>
    <xf borderId="0" fillId="8" fontId="4" numFmtId="169" xfId="0" applyAlignment="1" applyFill="1" applyFont="1" applyNumberFormat="1">
      <alignment readingOrder="0"/>
    </xf>
    <xf borderId="0" fillId="0" fontId="9" numFmtId="49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9" fontId="3" numFmtId="167" xfId="0" applyAlignment="1" applyFill="1" applyFont="1" applyNumberFormat="1">
      <alignment readingOrder="0"/>
    </xf>
    <xf borderId="0" fillId="0" fontId="3" numFmtId="167" xfId="0" applyAlignment="1" applyFont="1" applyNumberFormat="1">
      <alignment horizontal="right" vertical="bottom"/>
    </xf>
    <xf borderId="0" fillId="9" fontId="3" numFmtId="167" xfId="0" applyFont="1" applyNumberFormat="1"/>
    <xf borderId="0" fillId="0" fontId="13" numFmtId="0" xfId="0" applyAlignment="1" applyFont="1">
      <alignment readingOrder="0"/>
    </xf>
    <xf borderId="0" fillId="0" fontId="4" numFmtId="167" xfId="0" applyFont="1" applyNumberFormat="1"/>
    <xf borderId="0" fillId="0" fontId="4" numFmtId="168" xfId="0" applyAlignment="1" applyFont="1" applyNumberFormat="1">
      <alignment horizontal="center" readingOrder="0" vertical="center"/>
    </xf>
    <xf borderId="0" fillId="9" fontId="3" numFmtId="167" xfId="0" applyAlignment="1" applyFont="1" applyNumberFormat="1">
      <alignment horizontal="center" readingOrder="0" vertical="center"/>
    </xf>
    <xf borderId="0" fillId="0" fontId="3" numFmtId="0" xfId="0" applyFont="1"/>
    <xf borderId="0" fillId="0" fontId="3" numFmtId="168" xfId="0" applyAlignment="1" applyFont="1" applyNumberFormat="1">
      <alignment readingOrder="0"/>
    </xf>
    <xf borderId="0" fillId="9" fontId="4" numFmtId="0" xfId="0" applyFont="1"/>
    <xf borderId="0" fillId="0" fontId="3" numFmtId="0" xfId="0" applyAlignment="1" applyFont="1">
      <alignment horizontal="left" readingOrder="0" vertical="center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4" xfId="0" applyFont="1" applyNumberFormat="1"/>
    <xf borderId="0" fillId="0" fontId="3" numFmtId="4" xfId="0" applyAlignment="1" applyFont="1" applyNumberFormat="1">
      <alignment readingOrder="0"/>
    </xf>
    <xf borderId="0" fillId="6" fontId="4" numFmtId="0" xfId="0" applyAlignment="1" applyFont="1">
      <alignment readingOrder="0"/>
    </xf>
    <xf borderId="0" fillId="6" fontId="3" numFmtId="167" xfId="0" applyFont="1" applyNumberFormat="1"/>
    <xf borderId="0" fillId="8" fontId="3" numFmtId="0" xfId="0" applyAlignment="1" applyFont="1">
      <alignment horizontal="center" readingOrder="0" vertical="center"/>
    </xf>
    <xf borderId="0" fillId="8" fontId="3" numFmtId="167" xfId="0" applyFont="1" applyNumberFormat="1"/>
    <xf borderId="0" fillId="8" fontId="3" numFmtId="167" xfId="0" applyAlignment="1" applyFont="1" applyNumberFormat="1">
      <alignment readingOrder="0"/>
    </xf>
    <xf borderId="5" fillId="2" fontId="1" numFmtId="0" xfId="0" applyBorder="1" applyFont="1"/>
    <xf borderId="0" fillId="0" fontId="4" numFmtId="166" xfId="0" applyFont="1" applyNumberFormat="1"/>
    <xf borderId="0" fillId="3" fontId="4" numFmtId="168" xfId="0" applyAlignment="1" applyFont="1" applyNumberFormat="1">
      <alignment horizontal="center" readingOrder="0" vertical="center"/>
    </xf>
    <xf borderId="3" fillId="2" fontId="1" numFmtId="0" xfId="0" applyBorder="1" applyFont="1"/>
    <xf borderId="0" fillId="3" fontId="4" numFmtId="4" xfId="0" applyAlignment="1" applyFont="1" applyNumberFormat="1">
      <alignment readingOrder="0"/>
    </xf>
    <xf borderId="0" fillId="0" fontId="4" numFmtId="4" xfId="0" applyFont="1" applyNumberFormat="1"/>
    <xf borderId="3" fillId="2" fontId="1" numFmtId="0" xfId="0" applyAlignment="1" applyBorder="1" applyFont="1">
      <alignment horizontal="center"/>
    </xf>
    <xf borderId="5" fillId="10" fontId="2" numFmtId="164" xfId="0" applyAlignment="1" applyBorder="1" applyFill="1" applyFont="1" applyNumberFormat="1">
      <alignment horizontal="left" readingOrder="0"/>
    </xf>
    <xf borderId="3" fillId="10" fontId="2" numFmtId="165" xfId="0" applyAlignment="1" applyBorder="1" applyFont="1" applyNumberFormat="1">
      <alignment horizontal="right" readingOrder="0"/>
    </xf>
    <xf borderId="3" fillId="10" fontId="2" numFmtId="165" xfId="0" applyAlignment="1" applyBorder="1" applyFont="1" applyNumberFormat="1">
      <alignment horizontal="right"/>
    </xf>
    <xf borderId="3" fillId="10" fontId="2" numFmtId="165" xfId="0" applyAlignment="1" applyBorder="1" applyFont="1" applyNumberFormat="1">
      <alignment horizontal="center"/>
    </xf>
    <xf borderId="3" fillId="10" fontId="2" numFmtId="49" xfId="0" applyAlignment="1" applyBorder="1" applyFont="1" applyNumberFormat="1">
      <alignment horizontal="left"/>
    </xf>
    <xf borderId="0" fillId="0" fontId="4" numFmtId="0" xfId="0" applyAlignment="1" applyFont="1">
      <alignment horizontal="center" vertical="center"/>
    </xf>
    <xf borderId="0" fillId="0" fontId="4" numFmtId="2" xfId="0" applyFont="1" applyNumberFormat="1"/>
    <xf borderId="1" fillId="2" fontId="1" numFmtId="0" xfId="0" applyAlignment="1" applyBorder="1" applyFont="1">
      <alignment horizontal="center"/>
    </xf>
    <xf borderId="1" fillId="3" fontId="2" numFmtId="165" xfId="0" applyAlignment="1" applyBorder="1" applyFont="1" applyNumberFormat="1">
      <alignment horizontal="center"/>
    </xf>
    <xf borderId="5" fillId="10" fontId="2" numFmtId="164" xfId="0" applyAlignment="1" applyBorder="1" applyFont="1" applyNumberFormat="1">
      <alignment horizontal="left"/>
    </xf>
    <xf borderId="0" fillId="0" fontId="2" numFmtId="165" xfId="0" applyAlignment="1" applyFont="1" applyNumberFormat="1">
      <alignment horizontal="center"/>
    </xf>
    <xf borderId="5" fillId="3" fontId="2" numFmtId="164" xfId="0" applyAlignment="1" applyBorder="1" applyFont="1" applyNumberFormat="1">
      <alignment horizontal="left"/>
    </xf>
    <xf borderId="3" fillId="3" fontId="2" numFmtId="49" xfId="0" applyAlignment="1" applyBorder="1" applyFont="1" applyNumberFormat="1">
      <alignment horizontal="left"/>
    </xf>
    <xf borderId="3" fillId="3" fontId="2" numFmtId="165" xfId="0" applyAlignment="1" applyBorder="1" applyFont="1" applyNumberFormat="1">
      <alignment horizontal="right"/>
    </xf>
    <xf borderId="3" fillId="3" fontId="2" numFmtId="165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left"/>
    </xf>
    <xf borderId="7" fillId="0" fontId="2" numFmtId="49" xfId="0" applyAlignment="1" applyBorder="1" applyFont="1" applyNumberFormat="1">
      <alignment horizontal="left"/>
    </xf>
    <xf borderId="7" fillId="0" fontId="2" numFmtId="165" xfId="0" applyAlignment="1" applyBorder="1" applyFont="1" applyNumberFormat="1">
      <alignment horizontal="right"/>
    </xf>
    <xf borderId="7" fillId="0" fontId="2" numFmtId="165" xfId="0" applyAlignment="1" applyBorder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HOUARI-style">
      <tableStyleElement dxfId="1" type="headerRow"/>
      <tableStyleElement dxfId="2" type="firstRowStripe"/>
      <tableStyleElement dxfId="3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F59" displayName="Table_1" name="Table_1" id="1">
  <tableColumns count="6">
    <tableColumn totalsRowLabel="03.01.2026" name="Tarih      " id="1"/>
    <tableColumn totalsRowLabel="Toptan Satış (Fatura)" name="Açıklama                " id="2"/>
    <tableColumn totalsRowLabel="50.400,00" name="  Borç (Dvz)" id="3"/>
    <tableColumn name=" Alacak (Dvz)" id="4"/>
    <tableColumn totalsRowFunction="custom" name=" Devir Bakiye(TL)" id="5"/>
    <tableColumn totalsRowLabel="BON 0167/ SAKFALI" name="Fiş Açıklaması       " id="6"/>
  </tableColumns>
  <tableStyleInfo name="HOUA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30.29"/>
    <col customWidth="1" min="3" max="3" width="14.29"/>
    <col customWidth="1" min="4" max="4" width="13.43"/>
    <col customWidth="1" min="5" max="5" width="19.57"/>
    <col customWidth="1" min="6" max="6" width="27.86"/>
    <col customWidth="1" min="7" max="26" width="10.71"/>
  </cols>
  <sheetData>
    <row r="1">
      <c r="A1" s="1"/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4">
        <v>45833.0</v>
      </c>
      <c r="B2" s="6" t="s">
        <v>6</v>
      </c>
      <c r="C2" s="8">
        <v>25000.0</v>
      </c>
      <c r="D2" s="8">
        <v>0.0</v>
      </c>
      <c r="E2" s="8">
        <v>25000.0</v>
      </c>
      <c r="F2" s="9" t="s">
        <v>8</v>
      </c>
    </row>
    <row r="3">
      <c r="A3" s="3">
        <v>45841.0</v>
      </c>
      <c r="B3" s="5" t="s">
        <v>6</v>
      </c>
      <c r="C3" s="7">
        <v>55000.0</v>
      </c>
      <c r="D3" s="7">
        <v>0.0</v>
      </c>
      <c r="E3" s="7">
        <v>80000.0</v>
      </c>
      <c r="F3" s="10" t="s">
        <v>11</v>
      </c>
    </row>
    <row r="4">
      <c r="A4" s="3">
        <v>45847.0</v>
      </c>
      <c r="B4" s="5" t="s">
        <v>6</v>
      </c>
      <c r="C4" s="7">
        <v>50000.0</v>
      </c>
      <c r="D4" s="7">
        <v>0.0</v>
      </c>
      <c r="E4" s="7">
        <v>466000.0</v>
      </c>
      <c r="F4" s="10" t="s">
        <v>13</v>
      </c>
    </row>
    <row r="5">
      <c r="A5" s="4">
        <v>45847.0</v>
      </c>
      <c r="B5" s="6" t="s">
        <v>6</v>
      </c>
      <c r="C5" s="8">
        <v>336000.0</v>
      </c>
      <c r="D5" s="8">
        <v>0.0</v>
      </c>
      <c r="E5" s="8">
        <v>416000.0</v>
      </c>
      <c r="F5" s="9" t="s">
        <v>14</v>
      </c>
    </row>
    <row r="6">
      <c r="A6" s="4">
        <v>45851.0</v>
      </c>
      <c r="B6" s="6" t="s">
        <v>6</v>
      </c>
      <c r="C6" s="8">
        <v>50000.0</v>
      </c>
      <c r="D6" s="8">
        <v>0.0</v>
      </c>
      <c r="E6" s="8">
        <v>516000.0</v>
      </c>
      <c r="F6" s="9" t="s">
        <v>13</v>
      </c>
    </row>
    <row r="7">
      <c r="A7" s="3">
        <v>45855.0</v>
      </c>
      <c r="B7" s="5" t="s">
        <v>6</v>
      </c>
      <c r="C7" s="7">
        <v>110000.0</v>
      </c>
      <c r="D7" s="7">
        <v>0.0</v>
      </c>
      <c r="E7" s="7">
        <v>626000.0</v>
      </c>
      <c r="F7" s="10" t="s">
        <v>13</v>
      </c>
    </row>
    <row r="8">
      <c r="A8" s="3">
        <v>45858.0</v>
      </c>
      <c r="B8" s="5" t="s">
        <v>6</v>
      </c>
      <c r="C8" s="7">
        <v>65000.0</v>
      </c>
      <c r="D8" s="7">
        <v>0.0</v>
      </c>
      <c r="E8" s="7">
        <v>766000.0</v>
      </c>
      <c r="F8" s="10" t="s">
        <v>17</v>
      </c>
    </row>
    <row r="9">
      <c r="A9" s="4">
        <v>45858.0</v>
      </c>
      <c r="B9" s="6" t="s">
        <v>6</v>
      </c>
      <c r="C9" s="8">
        <v>75000.0</v>
      </c>
      <c r="D9" s="8">
        <v>0.0</v>
      </c>
      <c r="E9" s="8">
        <v>701000.0</v>
      </c>
      <c r="F9" s="9" t="s">
        <v>8</v>
      </c>
    </row>
    <row r="10">
      <c r="A10" s="4">
        <v>45864.0</v>
      </c>
      <c r="B10" s="6" t="s">
        <v>6</v>
      </c>
      <c r="C10" s="8">
        <v>89500.0</v>
      </c>
      <c r="D10" s="8">
        <v>0.0</v>
      </c>
      <c r="E10" s="8">
        <v>855500.0</v>
      </c>
      <c r="F10" s="9" t="s">
        <v>20</v>
      </c>
    </row>
    <row r="11">
      <c r="A11" s="3">
        <v>45866.0</v>
      </c>
      <c r="B11" s="5" t="s">
        <v>10</v>
      </c>
      <c r="C11" s="7">
        <v>0.0</v>
      </c>
      <c r="D11" s="7">
        <v>50000.0</v>
      </c>
      <c r="E11" s="7">
        <v>805500.0</v>
      </c>
      <c r="F11" s="10"/>
    </row>
    <row r="12">
      <c r="A12" s="3">
        <v>45869.0</v>
      </c>
      <c r="B12" s="5" t="s">
        <v>10</v>
      </c>
      <c r="C12" s="7">
        <v>0.0</v>
      </c>
      <c r="D12" s="7">
        <v>300000.0</v>
      </c>
      <c r="E12" s="7">
        <v>175500.0</v>
      </c>
      <c r="F12" s="10" t="s">
        <v>7</v>
      </c>
    </row>
    <row r="13">
      <c r="A13" s="4">
        <v>45869.0</v>
      </c>
      <c r="B13" s="6" t="s">
        <v>10</v>
      </c>
      <c r="C13" s="8">
        <v>0.0</v>
      </c>
      <c r="D13" s="8">
        <v>200000.0</v>
      </c>
      <c r="E13" s="8">
        <v>475500.0</v>
      </c>
      <c r="F13" s="9" t="s">
        <v>7</v>
      </c>
    </row>
    <row r="14">
      <c r="A14" s="3">
        <v>45869.0</v>
      </c>
      <c r="B14" s="5" t="s">
        <v>10</v>
      </c>
      <c r="C14" s="7">
        <v>0.0</v>
      </c>
      <c r="D14" s="7">
        <v>25000.0</v>
      </c>
      <c r="E14" s="7">
        <v>675500.0</v>
      </c>
      <c r="F14" s="10" t="s">
        <v>7</v>
      </c>
    </row>
    <row r="15">
      <c r="A15" s="4">
        <v>45869.0</v>
      </c>
      <c r="B15" s="6" t="s">
        <v>10</v>
      </c>
      <c r="C15" s="8">
        <v>0.0</v>
      </c>
      <c r="D15" s="8">
        <v>55000.0</v>
      </c>
      <c r="E15" s="8">
        <v>700500.0</v>
      </c>
      <c r="F15" s="9" t="s">
        <v>7</v>
      </c>
    </row>
    <row r="16">
      <c r="A16" s="3">
        <v>45869.0</v>
      </c>
      <c r="B16" s="5" t="s">
        <v>10</v>
      </c>
      <c r="C16" s="7">
        <v>0.0</v>
      </c>
      <c r="D16" s="7">
        <v>25000.0</v>
      </c>
      <c r="E16" s="7">
        <v>755500.0</v>
      </c>
      <c r="F16" s="10" t="s">
        <v>7</v>
      </c>
    </row>
    <row r="17">
      <c r="A17" s="4">
        <v>45869.0</v>
      </c>
      <c r="B17" s="6" t="s">
        <v>10</v>
      </c>
      <c r="C17" s="8">
        <v>0.0</v>
      </c>
      <c r="D17" s="8">
        <v>25000.0</v>
      </c>
      <c r="E17" s="8">
        <v>780500.0</v>
      </c>
      <c r="F17" s="9"/>
    </row>
    <row r="18">
      <c r="A18" s="4">
        <v>45874.0</v>
      </c>
      <c r="B18" s="6" t="s">
        <v>6</v>
      </c>
      <c r="C18" s="8">
        <v>60000.0</v>
      </c>
      <c r="D18" s="8">
        <v>0.0</v>
      </c>
      <c r="E18" s="8">
        <v>235500.0</v>
      </c>
      <c r="F18" s="9" t="s">
        <v>7</v>
      </c>
    </row>
    <row r="19">
      <c r="A19" s="3">
        <v>45881.0</v>
      </c>
      <c r="B19" s="5" t="s">
        <v>10</v>
      </c>
      <c r="C19" s="7">
        <v>0.0</v>
      </c>
      <c r="D19" s="7">
        <v>235000.0</v>
      </c>
      <c r="E19" s="7">
        <v>500.0</v>
      </c>
      <c r="F19" s="10"/>
    </row>
    <row r="20">
      <c r="A20" s="4">
        <v>45885.0</v>
      </c>
      <c r="B20" s="6" t="s">
        <v>6</v>
      </c>
      <c r="C20" s="8">
        <v>100000.0</v>
      </c>
      <c r="D20" s="8">
        <v>0.0</v>
      </c>
      <c r="E20" s="8">
        <v>100500.0</v>
      </c>
      <c r="F20" s="9" t="s">
        <v>7</v>
      </c>
    </row>
    <row r="21" ht="15.75" customHeight="1">
      <c r="A21" s="3">
        <v>45888.0</v>
      </c>
      <c r="B21" s="5" t="s">
        <v>6</v>
      </c>
      <c r="C21" s="7">
        <v>25000.0</v>
      </c>
      <c r="D21" s="7">
        <v>0.0</v>
      </c>
      <c r="E21" s="7">
        <v>125500.0</v>
      </c>
      <c r="F21" s="10" t="s">
        <v>7</v>
      </c>
    </row>
    <row r="22" ht="15.75" customHeight="1">
      <c r="A22" s="4">
        <v>45897.0</v>
      </c>
      <c r="B22" s="6" t="s">
        <v>6</v>
      </c>
      <c r="C22" s="8">
        <v>31500.0</v>
      </c>
      <c r="D22" s="8">
        <v>0.0</v>
      </c>
      <c r="E22" s="8">
        <v>157000.0</v>
      </c>
      <c r="F22" s="9" t="s">
        <v>7</v>
      </c>
    </row>
    <row r="23" ht="15.75" customHeight="1">
      <c r="A23" s="3">
        <v>45906.0</v>
      </c>
      <c r="B23" s="5" t="s">
        <v>6</v>
      </c>
      <c r="C23" s="7">
        <v>45000.0</v>
      </c>
      <c r="D23" s="7">
        <v>0.0</v>
      </c>
      <c r="E23" s="7">
        <v>202000.0</v>
      </c>
      <c r="F23" s="10" t="s">
        <v>7</v>
      </c>
    </row>
    <row r="24" ht="15.75" customHeight="1">
      <c r="A24" s="4">
        <v>45908.0</v>
      </c>
      <c r="B24" s="6" t="s">
        <v>6</v>
      </c>
      <c r="C24" s="8">
        <v>15000.0</v>
      </c>
      <c r="D24" s="8">
        <v>0.0</v>
      </c>
      <c r="E24" s="8">
        <v>217000.0</v>
      </c>
      <c r="F24" s="9" t="s">
        <v>7</v>
      </c>
    </row>
    <row r="25" ht="15.75" customHeight="1">
      <c r="A25" s="3">
        <v>45910.0</v>
      </c>
      <c r="B25" s="5" t="s">
        <v>6</v>
      </c>
      <c r="C25" s="7">
        <v>43000.0</v>
      </c>
      <c r="D25" s="7">
        <v>0.0</v>
      </c>
      <c r="E25" s="7">
        <v>260000.0</v>
      </c>
      <c r="F25" s="10" t="s">
        <v>7</v>
      </c>
    </row>
    <row r="26" ht="15.75" customHeight="1">
      <c r="A26" s="3">
        <v>45913.0</v>
      </c>
      <c r="B26" s="5" t="s">
        <v>6</v>
      </c>
      <c r="C26" s="7">
        <v>14000.0</v>
      </c>
      <c r="D26" s="7">
        <v>0.0</v>
      </c>
      <c r="E26" s="7">
        <v>302000.0</v>
      </c>
      <c r="F26" s="10" t="s">
        <v>37</v>
      </c>
    </row>
    <row r="27" ht="15.75" customHeight="1">
      <c r="A27" s="4">
        <v>45913.0</v>
      </c>
      <c r="B27" s="6" t="s">
        <v>6</v>
      </c>
      <c r="C27" s="8">
        <v>28000.0</v>
      </c>
      <c r="D27" s="8">
        <v>0.0</v>
      </c>
      <c r="E27" s="8">
        <v>288000.0</v>
      </c>
      <c r="F27" s="9" t="s">
        <v>39</v>
      </c>
    </row>
    <row r="28" ht="15.75" customHeight="1">
      <c r="A28" s="3">
        <v>45914.0</v>
      </c>
      <c r="B28" s="5" t="s">
        <v>6</v>
      </c>
      <c r="C28" s="7">
        <v>15000.0</v>
      </c>
      <c r="D28" s="7">
        <v>0.0</v>
      </c>
      <c r="E28" s="7">
        <v>117000.0</v>
      </c>
      <c r="F28" s="10" t="s">
        <v>43</v>
      </c>
    </row>
    <row r="29" ht="15.75" customHeight="1">
      <c r="A29" s="4">
        <v>45914.0</v>
      </c>
      <c r="B29" s="6" t="s">
        <v>10</v>
      </c>
      <c r="C29" s="8">
        <v>0.0</v>
      </c>
      <c r="D29" s="8">
        <v>200000.0</v>
      </c>
      <c r="E29" s="8">
        <v>102000.0</v>
      </c>
      <c r="F29" s="9"/>
    </row>
    <row r="30" ht="15.75" customHeight="1">
      <c r="A30" s="4">
        <v>45918.0</v>
      </c>
      <c r="B30" s="6" t="s">
        <v>6</v>
      </c>
      <c r="C30" s="8">
        <v>52000.0</v>
      </c>
      <c r="D30" s="8">
        <v>0.0</v>
      </c>
      <c r="E30" s="8">
        <v>169000.0</v>
      </c>
      <c r="F30" s="9" t="s">
        <v>46</v>
      </c>
    </row>
    <row r="31" ht="15.75" customHeight="1">
      <c r="A31" s="3">
        <v>45921.0</v>
      </c>
      <c r="B31" s="5" t="s">
        <v>6</v>
      </c>
      <c r="C31" s="7">
        <v>84000.0</v>
      </c>
      <c r="D31" s="7">
        <v>0.0</v>
      </c>
      <c r="E31" s="7">
        <v>253000.0</v>
      </c>
      <c r="F31" s="10" t="s">
        <v>47</v>
      </c>
    </row>
    <row r="32" ht="15.75" customHeight="1">
      <c r="A32" s="4">
        <v>45925.0</v>
      </c>
      <c r="B32" s="6" t="s">
        <v>6</v>
      </c>
      <c r="C32" s="8">
        <v>168000.0</v>
      </c>
      <c r="D32" s="8">
        <v>0.0</v>
      </c>
      <c r="E32" s="8">
        <v>421000.0</v>
      </c>
      <c r="F32" s="9" t="s">
        <v>36</v>
      </c>
    </row>
    <row r="33" ht="15.75" customHeight="1">
      <c r="A33" s="4">
        <v>45928.0</v>
      </c>
      <c r="B33" s="6" t="s">
        <v>6</v>
      </c>
      <c r="C33" s="8">
        <v>46500.0</v>
      </c>
      <c r="D33" s="8">
        <v>0.0</v>
      </c>
      <c r="E33" s="8">
        <v>267500.0</v>
      </c>
      <c r="F33" s="9" t="s">
        <v>54</v>
      </c>
    </row>
    <row r="34" ht="15.75" customHeight="1">
      <c r="A34" s="3">
        <v>45928.0</v>
      </c>
      <c r="B34" s="5" t="s">
        <v>10</v>
      </c>
      <c r="C34" s="7">
        <v>0.0</v>
      </c>
      <c r="D34" s="7">
        <v>200000.0</v>
      </c>
      <c r="E34" s="7">
        <v>221000.0</v>
      </c>
      <c r="F34" s="10"/>
    </row>
    <row r="35" ht="15.75" customHeight="1">
      <c r="A35" s="3">
        <v>45929.0</v>
      </c>
      <c r="B35" s="5" t="s">
        <v>6</v>
      </c>
      <c r="C35" s="7">
        <v>30000.0</v>
      </c>
      <c r="D35" s="7">
        <v>0.0</v>
      </c>
      <c r="E35" s="7">
        <v>297500.0</v>
      </c>
      <c r="F35" s="10" t="s">
        <v>36</v>
      </c>
    </row>
    <row r="36" ht="15.75" customHeight="1">
      <c r="A36" s="4">
        <v>45935.0</v>
      </c>
      <c r="B36" s="6" t="s">
        <v>6</v>
      </c>
      <c r="C36" s="8">
        <v>40000.0</v>
      </c>
      <c r="D36" s="8">
        <v>0.0</v>
      </c>
      <c r="E36" s="8">
        <v>337500.0</v>
      </c>
      <c r="F36" s="9" t="s">
        <v>63</v>
      </c>
    </row>
    <row r="37" ht="15.75" customHeight="1">
      <c r="A37" s="3">
        <v>45937.0</v>
      </c>
      <c r="B37" s="5" t="s">
        <v>6</v>
      </c>
      <c r="C37" s="7">
        <v>65000.0</v>
      </c>
      <c r="D37" s="7">
        <v>0.0</v>
      </c>
      <c r="E37" s="7">
        <v>402500.0</v>
      </c>
      <c r="F37" s="10" t="s">
        <v>65</v>
      </c>
    </row>
    <row r="38" ht="15.75" customHeight="1">
      <c r="A38" s="3">
        <v>45939.0</v>
      </c>
      <c r="B38" s="5" t="s">
        <v>10</v>
      </c>
      <c r="C38" s="7">
        <v>0.0</v>
      </c>
      <c r="D38" s="7">
        <v>200000.0</v>
      </c>
      <c r="E38" s="7">
        <v>362500.0</v>
      </c>
      <c r="F38" s="10"/>
    </row>
    <row r="39" ht="15.75" customHeight="1">
      <c r="A39" s="4">
        <v>45939.0</v>
      </c>
      <c r="B39" s="6" t="s">
        <v>6</v>
      </c>
      <c r="C39" s="8">
        <v>160000.0</v>
      </c>
      <c r="D39" s="8">
        <v>0.0</v>
      </c>
      <c r="E39" s="8">
        <v>562500.0</v>
      </c>
      <c r="F39" s="9" t="s">
        <v>70</v>
      </c>
    </row>
    <row r="40" ht="15.75" customHeight="1">
      <c r="A40" s="4">
        <v>45942.0</v>
      </c>
      <c r="B40" s="6" t="s">
        <v>6</v>
      </c>
      <c r="C40" s="8">
        <v>63000.0</v>
      </c>
      <c r="D40" s="8">
        <v>0.0</v>
      </c>
      <c r="E40" s="8">
        <v>425500.0</v>
      </c>
      <c r="F40" s="9" t="s">
        <v>72</v>
      </c>
    </row>
    <row r="41" ht="15.75" customHeight="1">
      <c r="A41" s="3">
        <v>45946.0</v>
      </c>
      <c r="B41" s="5" t="s">
        <v>10</v>
      </c>
      <c r="C41" s="7">
        <v>0.0</v>
      </c>
      <c r="D41" s="7">
        <v>300000.0</v>
      </c>
      <c r="E41" s="7">
        <v>125500.0</v>
      </c>
      <c r="F41" s="10"/>
    </row>
    <row r="42" ht="15.75" customHeight="1">
      <c r="A42" s="4">
        <v>45951.0</v>
      </c>
      <c r="B42" s="6" t="s">
        <v>6</v>
      </c>
      <c r="C42" s="8">
        <v>84000.0</v>
      </c>
      <c r="D42" s="8">
        <v>0.0</v>
      </c>
      <c r="E42" s="8">
        <v>209500.0</v>
      </c>
      <c r="F42" s="9" t="s">
        <v>78</v>
      </c>
    </row>
    <row r="43" ht="15.75" customHeight="1">
      <c r="A43" s="3">
        <v>45953.0</v>
      </c>
      <c r="B43" s="5" t="s">
        <v>6</v>
      </c>
      <c r="C43" s="7">
        <v>76000.0</v>
      </c>
      <c r="D43" s="7">
        <v>0.0</v>
      </c>
      <c r="E43" s="7">
        <v>285500.0</v>
      </c>
      <c r="F43" s="10" t="s">
        <v>83</v>
      </c>
    </row>
    <row r="44" ht="15.75" customHeight="1">
      <c r="A44" s="4">
        <v>45956.0</v>
      </c>
      <c r="B44" s="6" t="s">
        <v>6</v>
      </c>
      <c r="C44" s="8">
        <v>44000.0</v>
      </c>
      <c r="D44" s="8">
        <v>0.0</v>
      </c>
      <c r="E44" s="8">
        <v>329500.0</v>
      </c>
      <c r="F44" s="9" t="s">
        <v>84</v>
      </c>
    </row>
    <row r="45" ht="15.75" customHeight="1">
      <c r="A45" s="3">
        <v>45958.0</v>
      </c>
      <c r="B45" s="5" t="s">
        <v>53</v>
      </c>
      <c r="C45" s="7">
        <v>60000.0</v>
      </c>
      <c r="D45" s="7">
        <v>0.0</v>
      </c>
      <c r="E45" s="7">
        <v>389500.0</v>
      </c>
      <c r="F45" s="10" t="s">
        <v>89</v>
      </c>
    </row>
    <row r="46" ht="15.75" customHeight="1">
      <c r="A46" s="4">
        <v>45960.0</v>
      </c>
      <c r="B46" s="6" t="s">
        <v>6</v>
      </c>
      <c r="C46" s="8">
        <v>108000.0</v>
      </c>
      <c r="D46" s="8">
        <v>0.0</v>
      </c>
      <c r="E46" s="8">
        <v>497500.0</v>
      </c>
      <c r="F46" s="9" t="s">
        <v>91</v>
      </c>
    </row>
    <row r="47" ht="15.75" customHeight="1">
      <c r="A47" s="3">
        <v>45963.0</v>
      </c>
      <c r="B47" s="5" t="s">
        <v>10</v>
      </c>
      <c r="C47" s="7">
        <v>0.0</v>
      </c>
      <c r="D47" s="7">
        <v>300000.0</v>
      </c>
      <c r="E47" s="7">
        <v>197500.0</v>
      </c>
      <c r="F47" s="10"/>
    </row>
    <row r="48" ht="15.75" customHeight="1">
      <c r="A48" s="4">
        <v>45966.0</v>
      </c>
      <c r="B48" s="6" t="s">
        <v>6</v>
      </c>
      <c r="C48" s="8">
        <v>60000.0</v>
      </c>
      <c r="D48" s="8">
        <v>0.0</v>
      </c>
      <c r="E48" s="8">
        <v>257500.0</v>
      </c>
      <c r="F48" s="9" t="s">
        <v>96</v>
      </c>
    </row>
    <row r="49" ht="15.75" customHeight="1">
      <c r="A49" s="3">
        <v>45967.0</v>
      </c>
      <c r="B49" s="5" t="s">
        <v>6</v>
      </c>
      <c r="C49" s="7">
        <v>72000.0</v>
      </c>
      <c r="D49" s="7">
        <v>0.0</v>
      </c>
      <c r="E49" s="7">
        <v>329500.0</v>
      </c>
      <c r="F49" s="10" t="s">
        <v>100</v>
      </c>
    </row>
    <row r="50" ht="15.75" customHeight="1">
      <c r="A50" s="4">
        <v>45970.0</v>
      </c>
      <c r="B50" s="6" t="s">
        <v>6</v>
      </c>
      <c r="C50" s="8">
        <v>60000.0</v>
      </c>
      <c r="D50" s="8">
        <v>0.0</v>
      </c>
      <c r="E50" s="8">
        <v>389500.0</v>
      </c>
      <c r="F50" s="9" t="s">
        <v>101</v>
      </c>
    </row>
    <row r="51" ht="15.75" customHeight="1">
      <c r="A51" s="3">
        <v>45974.0</v>
      </c>
      <c r="B51" s="5" t="s">
        <v>6</v>
      </c>
      <c r="C51" s="7">
        <v>144000.0</v>
      </c>
      <c r="D51" s="7">
        <v>0.0</v>
      </c>
      <c r="E51" s="7">
        <v>533500.0</v>
      </c>
      <c r="F51" s="10" t="s">
        <v>106</v>
      </c>
    </row>
    <row r="52" ht="15.75" customHeight="1">
      <c r="A52" s="4">
        <v>45977.0</v>
      </c>
      <c r="B52" s="6" t="s">
        <v>6</v>
      </c>
      <c r="C52" s="8">
        <v>78000.0</v>
      </c>
      <c r="D52" s="8">
        <v>0.0</v>
      </c>
      <c r="E52" s="8">
        <v>611500.0</v>
      </c>
      <c r="F52" s="9" t="s">
        <v>107</v>
      </c>
    </row>
    <row r="53" ht="15.75" customHeight="1">
      <c r="A53" s="3">
        <v>45979.0</v>
      </c>
      <c r="B53" s="5" t="s">
        <v>53</v>
      </c>
      <c r="C53" s="7">
        <v>66000.0</v>
      </c>
      <c r="D53" s="7">
        <v>0.0</v>
      </c>
      <c r="E53" s="7">
        <v>677500.0</v>
      </c>
      <c r="F53" s="10" t="s">
        <v>110</v>
      </c>
    </row>
    <row r="54" ht="15.75" customHeight="1">
      <c r="A54" s="4">
        <v>45980.0</v>
      </c>
      <c r="B54" s="6" t="s">
        <v>10</v>
      </c>
      <c r="C54" s="8">
        <v>0.0</v>
      </c>
      <c r="D54" s="8">
        <v>300000.0</v>
      </c>
      <c r="E54" s="8">
        <v>377500.0</v>
      </c>
      <c r="F54" s="9"/>
    </row>
    <row r="55" ht="15.75" customHeight="1">
      <c r="A55" s="3">
        <v>45985.0</v>
      </c>
      <c r="B55" s="5" t="s">
        <v>6</v>
      </c>
      <c r="C55" s="7">
        <v>30000.0</v>
      </c>
      <c r="D55" s="7">
        <v>0.0</v>
      </c>
      <c r="E55" s="7">
        <v>407500.0</v>
      </c>
      <c r="F55" s="10" t="s">
        <v>113</v>
      </c>
    </row>
    <row r="56" ht="15.75" customHeight="1">
      <c r="A56" s="4">
        <v>45988.0</v>
      </c>
      <c r="B56" s="6" t="s">
        <v>10</v>
      </c>
      <c r="C56" s="8">
        <v>0.0</v>
      </c>
      <c r="D56" s="8">
        <v>300000.0</v>
      </c>
      <c r="E56" s="8">
        <v>107500.0</v>
      </c>
      <c r="F56" s="9"/>
    </row>
    <row r="57" ht="15.75" customHeight="1">
      <c r="A57" s="3">
        <v>45990.0</v>
      </c>
      <c r="B57" s="5" t="s">
        <v>6</v>
      </c>
      <c r="C57" s="7">
        <v>40000.0</v>
      </c>
      <c r="D57" s="7">
        <v>0.0</v>
      </c>
      <c r="E57" s="7">
        <v>147500.0</v>
      </c>
      <c r="F57" s="10" t="s">
        <v>121</v>
      </c>
    </row>
    <row r="58" ht="15.75" customHeight="1">
      <c r="A58" s="4">
        <v>45992.0</v>
      </c>
      <c r="B58" s="6" t="s">
        <v>6</v>
      </c>
      <c r="C58" s="8">
        <v>5000.0</v>
      </c>
      <c r="D58" s="8">
        <v>0.0</v>
      </c>
      <c r="E58" s="8">
        <v>152500.0</v>
      </c>
      <c r="F58" s="9" t="s">
        <v>123</v>
      </c>
    </row>
    <row r="59" ht="15.75" customHeight="1">
      <c r="A59" s="3">
        <v>45993.0</v>
      </c>
      <c r="B59" s="5" t="s">
        <v>6</v>
      </c>
      <c r="C59" s="7">
        <v>12000.0</v>
      </c>
      <c r="D59" s="7">
        <v>0.0</v>
      </c>
      <c r="E59" s="7">
        <v>164500.0</v>
      </c>
      <c r="F59" s="10" t="s">
        <v>125</v>
      </c>
    </row>
    <row r="60" ht="15.75" customHeight="1">
      <c r="A60" s="4">
        <v>45994.0</v>
      </c>
      <c r="B60" s="6" t="s">
        <v>6</v>
      </c>
      <c r="C60" s="8">
        <v>40000.0</v>
      </c>
      <c r="D60" s="8">
        <v>0.0</v>
      </c>
      <c r="E60" s="8">
        <v>204500.0</v>
      </c>
      <c r="F60" s="9" t="s">
        <v>127</v>
      </c>
    </row>
    <row r="61" ht="15.75" customHeight="1">
      <c r="A61" s="3">
        <v>45998.0</v>
      </c>
      <c r="B61" s="5" t="s">
        <v>6</v>
      </c>
      <c r="C61" s="7">
        <v>65000.0</v>
      </c>
      <c r="D61" s="7">
        <v>0.0</v>
      </c>
      <c r="E61" s="7">
        <v>269500.0</v>
      </c>
      <c r="F61" s="10" t="s">
        <v>132</v>
      </c>
    </row>
    <row r="62" ht="15.75" customHeight="1">
      <c r="A62" s="4">
        <v>46001.0</v>
      </c>
      <c r="B62" s="6" t="s">
        <v>6</v>
      </c>
      <c r="C62" s="8">
        <v>25000.0</v>
      </c>
      <c r="D62" s="8">
        <v>0.0</v>
      </c>
      <c r="E62" s="8">
        <v>294500.0</v>
      </c>
      <c r="F62" s="9" t="s">
        <v>133</v>
      </c>
    </row>
    <row r="63" ht="15.75" customHeight="1">
      <c r="A63" s="3">
        <v>46005.0</v>
      </c>
      <c r="B63" s="5" t="s">
        <v>6</v>
      </c>
      <c r="C63" s="7">
        <v>55000.0</v>
      </c>
      <c r="D63" s="7">
        <v>0.0</v>
      </c>
      <c r="E63" s="7">
        <v>349500.0</v>
      </c>
      <c r="F63" s="10" t="s">
        <v>137</v>
      </c>
    </row>
    <row r="64" ht="15.75" customHeight="1">
      <c r="A64" s="4">
        <v>46007.0</v>
      </c>
      <c r="B64" s="6" t="s">
        <v>6</v>
      </c>
      <c r="C64" s="8">
        <v>40000.0</v>
      </c>
      <c r="D64" s="8">
        <v>0.0</v>
      </c>
      <c r="E64" s="8">
        <v>389500.0</v>
      </c>
      <c r="F64" s="9" t="s">
        <v>139</v>
      </c>
    </row>
    <row r="65" ht="15.75" customHeight="1">
      <c r="A65" s="3">
        <v>46009.0</v>
      </c>
      <c r="B65" s="5" t="s">
        <v>6</v>
      </c>
      <c r="C65" s="7">
        <v>128750.0</v>
      </c>
      <c r="D65" s="7">
        <v>0.0</v>
      </c>
      <c r="E65" s="7">
        <v>518250.0</v>
      </c>
      <c r="F65" s="10" t="s">
        <v>142</v>
      </c>
    </row>
    <row r="66" ht="15.75" customHeight="1">
      <c r="A66" s="4">
        <v>46014.0</v>
      </c>
      <c r="B66" s="6" t="s">
        <v>6</v>
      </c>
      <c r="C66" s="8">
        <v>70000.0</v>
      </c>
      <c r="D66" s="8">
        <v>0.0</v>
      </c>
      <c r="E66" s="8">
        <v>588250.0</v>
      </c>
      <c r="F66" s="9" t="s">
        <v>143</v>
      </c>
    </row>
    <row r="67" ht="15.75" customHeight="1">
      <c r="A67" s="4">
        <v>46015.0</v>
      </c>
      <c r="B67" s="6" t="s">
        <v>6</v>
      </c>
      <c r="C67" s="8">
        <v>46000.0</v>
      </c>
      <c r="D67" s="8">
        <v>0.0</v>
      </c>
      <c r="E67" s="8">
        <v>234250.0</v>
      </c>
      <c r="F67" s="9" t="s">
        <v>145</v>
      </c>
    </row>
    <row r="68" ht="15.75" customHeight="1">
      <c r="A68" s="3">
        <v>46015.0</v>
      </c>
      <c r="B68" s="5" t="s">
        <v>10</v>
      </c>
      <c r="C68" s="7">
        <v>0.0</v>
      </c>
      <c r="D68" s="7">
        <v>400000.0</v>
      </c>
      <c r="E68" s="7">
        <v>188250.0</v>
      </c>
      <c r="F68" s="10"/>
    </row>
    <row r="69" ht="15.75" customHeight="1">
      <c r="A69" s="3">
        <v>46018.0</v>
      </c>
      <c r="B69" s="5" t="s">
        <v>6</v>
      </c>
      <c r="C69" s="7">
        <v>65000.0</v>
      </c>
      <c r="D69" s="7">
        <v>0.0</v>
      </c>
      <c r="E69" s="7">
        <v>299250.0</v>
      </c>
      <c r="F69" s="10" t="s">
        <v>115</v>
      </c>
    </row>
    <row r="70" ht="15.75" customHeight="1">
      <c r="A70" s="4">
        <v>46019.0</v>
      </c>
      <c r="B70" s="6" t="s">
        <v>6</v>
      </c>
      <c r="C70" s="8">
        <v>105000.0</v>
      </c>
      <c r="D70" s="8">
        <v>0.0</v>
      </c>
      <c r="E70" s="8">
        <v>404250.0</v>
      </c>
      <c r="F70" s="9" t="s">
        <v>151</v>
      </c>
    </row>
    <row r="71" ht="15.75" customHeight="1">
      <c r="A71" s="3">
        <v>46021.0</v>
      </c>
      <c r="B71" s="5" t="s">
        <v>6</v>
      </c>
      <c r="C71" s="7">
        <v>165000.0</v>
      </c>
      <c r="D71" s="7">
        <v>0.0</v>
      </c>
      <c r="E71" s="7">
        <v>569250.0</v>
      </c>
      <c r="F71" s="10" t="s">
        <v>156</v>
      </c>
    </row>
    <row r="72" ht="15.75" customHeight="1">
      <c r="A72" s="4">
        <v>46022.0</v>
      </c>
      <c r="B72" s="6" t="s">
        <v>10</v>
      </c>
      <c r="C72" s="8">
        <v>0.0</v>
      </c>
      <c r="D72" s="8">
        <v>190000.0</v>
      </c>
      <c r="E72" s="8">
        <v>379250.0</v>
      </c>
      <c r="F72" s="9"/>
    </row>
    <row r="73" ht="15.75" customHeight="1">
      <c r="A73" s="51">
        <v>46025.0</v>
      </c>
      <c r="B73" s="5" t="s">
        <v>6</v>
      </c>
      <c r="C73" s="39">
        <v>52000.0</v>
      </c>
      <c r="D73" s="39"/>
      <c r="E73" s="58">
        <f t="shared" ref="E73:E141" si="1">+E72+C73-D73</f>
        <v>431250</v>
      </c>
      <c r="F73" s="41" t="s">
        <v>164</v>
      </c>
    </row>
    <row r="74" ht="15.75" customHeight="1">
      <c r="A74" s="51">
        <v>46026.0</v>
      </c>
      <c r="B74" s="6" t="s">
        <v>10</v>
      </c>
      <c r="C74" s="23"/>
      <c r="D74" s="23">
        <v>300000.0</v>
      </c>
      <c r="E74" s="61">
        <f t="shared" si="1"/>
        <v>131250</v>
      </c>
      <c r="F74" s="48"/>
    </row>
    <row r="75" ht="15.75" customHeight="1">
      <c r="A75" s="51">
        <v>46026.0</v>
      </c>
      <c r="B75" s="5" t="s">
        <v>6</v>
      </c>
      <c r="C75" s="39">
        <v>70000.0</v>
      </c>
      <c r="D75" s="39"/>
      <c r="E75" s="58">
        <f t="shared" si="1"/>
        <v>201250</v>
      </c>
      <c r="F75" s="41" t="s">
        <v>170</v>
      </c>
    </row>
    <row r="76" ht="15.75" customHeight="1">
      <c r="A76" s="51">
        <v>46027.0</v>
      </c>
      <c r="B76" s="5" t="s">
        <v>6</v>
      </c>
      <c r="C76" s="25">
        <v>115000.0</v>
      </c>
      <c r="D76" s="23"/>
      <c r="E76" s="58">
        <f t="shared" si="1"/>
        <v>316250</v>
      </c>
      <c r="F76" s="49" t="s">
        <v>173</v>
      </c>
    </row>
    <row r="77" ht="15.75" customHeight="1">
      <c r="A77" s="51">
        <v>46028.0</v>
      </c>
      <c r="B77" s="5" t="s">
        <v>6</v>
      </c>
      <c r="C77" s="25">
        <v>40000.0</v>
      </c>
      <c r="D77" s="23"/>
      <c r="E77" s="58">
        <f t="shared" si="1"/>
        <v>356250</v>
      </c>
      <c r="F77" s="49" t="s">
        <v>177</v>
      </c>
    </row>
    <row r="78" ht="15.75" customHeight="1">
      <c r="A78" s="42">
        <v>46030.0</v>
      </c>
      <c r="B78" s="5" t="s">
        <v>6</v>
      </c>
      <c r="C78" s="25">
        <v>130000.0</v>
      </c>
      <c r="D78" s="23"/>
      <c r="E78" s="58">
        <f t="shared" si="1"/>
        <v>486250</v>
      </c>
      <c r="F78" s="49" t="s">
        <v>180</v>
      </c>
    </row>
    <row r="79" ht="15.75" customHeight="1">
      <c r="A79" s="42">
        <v>46033.0</v>
      </c>
      <c r="B79" s="5" t="s">
        <v>6</v>
      </c>
      <c r="C79" s="25">
        <v>30000.0</v>
      </c>
      <c r="D79" s="23"/>
      <c r="E79" s="58">
        <f t="shared" si="1"/>
        <v>516250</v>
      </c>
      <c r="F79" s="49" t="s">
        <v>186</v>
      </c>
    </row>
    <row r="80" ht="15.75" customHeight="1">
      <c r="A80" s="42">
        <v>46035.0</v>
      </c>
      <c r="B80" s="5" t="s">
        <v>6</v>
      </c>
      <c r="C80" s="25">
        <v>25000.0</v>
      </c>
      <c r="D80" s="23"/>
      <c r="E80" s="58">
        <f t="shared" si="1"/>
        <v>541250</v>
      </c>
      <c r="F80" s="49" t="s">
        <v>188</v>
      </c>
    </row>
    <row r="81" ht="15.75" customHeight="1">
      <c r="A81" s="42">
        <v>46040.0</v>
      </c>
      <c r="B81" s="5" t="s">
        <v>6</v>
      </c>
      <c r="C81" s="25">
        <v>60000.0</v>
      </c>
      <c r="D81" s="23"/>
      <c r="E81" s="58">
        <f t="shared" si="1"/>
        <v>601250</v>
      </c>
      <c r="F81" s="49" t="s">
        <v>191</v>
      </c>
    </row>
    <row r="82" ht="15.75" customHeight="1">
      <c r="A82" s="42">
        <v>46042.0</v>
      </c>
      <c r="B82" s="5" t="s">
        <v>6</v>
      </c>
      <c r="C82" s="25">
        <v>60000.0</v>
      </c>
      <c r="D82" s="23"/>
      <c r="E82" s="58">
        <f t="shared" si="1"/>
        <v>661250</v>
      </c>
      <c r="F82" s="49" t="s">
        <v>194</v>
      </c>
    </row>
    <row r="83" ht="15.75" customHeight="1">
      <c r="A83" s="42">
        <v>46043.0</v>
      </c>
      <c r="B83" s="5" t="s">
        <v>6</v>
      </c>
      <c r="C83" s="25">
        <v>61500.0</v>
      </c>
      <c r="D83" s="23"/>
      <c r="E83" s="58">
        <f t="shared" si="1"/>
        <v>722750</v>
      </c>
      <c r="F83" s="49" t="s">
        <v>199</v>
      </c>
    </row>
    <row r="84" ht="15.75" customHeight="1">
      <c r="A84" s="42">
        <v>46044.0</v>
      </c>
      <c r="B84" s="5" t="s">
        <v>6</v>
      </c>
      <c r="C84" s="25">
        <v>83500.0</v>
      </c>
      <c r="D84" s="23"/>
      <c r="E84" s="58">
        <f t="shared" si="1"/>
        <v>806250</v>
      </c>
      <c r="F84" s="49" t="s">
        <v>202</v>
      </c>
    </row>
    <row r="85" ht="15.75" customHeight="1">
      <c r="A85" s="42">
        <v>46048.0</v>
      </c>
      <c r="B85" s="5" t="s">
        <v>6</v>
      </c>
      <c r="C85" s="25">
        <v>135500.0</v>
      </c>
      <c r="D85" s="23"/>
      <c r="E85" s="58">
        <f t="shared" si="1"/>
        <v>941750</v>
      </c>
      <c r="F85" s="49" t="s">
        <v>204</v>
      </c>
    </row>
    <row r="86" ht="15.75" customHeight="1">
      <c r="A86" s="42">
        <v>46048.0</v>
      </c>
      <c r="B86" s="6" t="s">
        <v>10</v>
      </c>
      <c r="C86" s="23"/>
      <c r="D86" s="25">
        <v>500000.0</v>
      </c>
      <c r="E86" s="58">
        <f t="shared" si="1"/>
        <v>441750</v>
      </c>
      <c r="F86" s="48"/>
    </row>
    <row r="87" ht="15.75" customHeight="1">
      <c r="A87" s="42">
        <v>46049.0</v>
      </c>
      <c r="B87" s="5" t="s">
        <v>6</v>
      </c>
      <c r="C87" s="25">
        <v>25000.0</v>
      </c>
      <c r="D87" s="23"/>
      <c r="E87" s="58">
        <f t="shared" si="1"/>
        <v>466750</v>
      </c>
      <c r="F87" s="49" t="s">
        <v>212</v>
      </c>
    </row>
    <row r="88" ht="15.75" customHeight="1">
      <c r="A88" s="42">
        <v>46054.0</v>
      </c>
      <c r="B88" s="5" t="s">
        <v>6</v>
      </c>
      <c r="C88" s="25">
        <v>61000.0</v>
      </c>
      <c r="D88" s="23"/>
      <c r="E88" s="58">
        <f t="shared" si="1"/>
        <v>527750</v>
      </c>
      <c r="F88" s="49" t="s">
        <v>216</v>
      </c>
    </row>
    <row r="89" ht="15.75" customHeight="1">
      <c r="A89" s="42">
        <v>46056.0</v>
      </c>
      <c r="B89" s="5" t="s">
        <v>6</v>
      </c>
      <c r="C89" s="25">
        <v>41500.0</v>
      </c>
      <c r="D89" s="23"/>
      <c r="E89" s="58">
        <f t="shared" si="1"/>
        <v>569250</v>
      </c>
      <c r="F89" s="49" t="s">
        <v>219</v>
      </c>
    </row>
    <row r="90" ht="15.75" customHeight="1">
      <c r="A90" s="42">
        <v>46061.0</v>
      </c>
      <c r="B90" s="5" t="s">
        <v>6</v>
      </c>
      <c r="C90" s="25">
        <v>60300.0</v>
      </c>
      <c r="D90" s="23"/>
      <c r="E90" s="58">
        <f t="shared" si="1"/>
        <v>629550</v>
      </c>
      <c r="F90" s="49" t="s">
        <v>223</v>
      </c>
    </row>
    <row r="91" ht="15.75" customHeight="1">
      <c r="A91" s="42">
        <v>46063.0</v>
      </c>
      <c r="B91" s="6" t="s">
        <v>10</v>
      </c>
      <c r="C91" s="23"/>
      <c r="D91" s="25">
        <v>500000.0</v>
      </c>
      <c r="E91" s="58">
        <f t="shared" si="1"/>
        <v>129550</v>
      </c>
      <c r="F91" s="48"/>
    </row>
    <row r="92" ht="15.75" customHeight="1">
      <c r="A92" s="42">
        <v>46063.0</v>
      </c>
      <c r="B92" s="6" t="s">
        <v>10</v>
      </c>
      <c r="C92" s="23"/>
      <c r="D92" s="25">
        <v>69000.0</v>
      </c>
      <c r="E92" s="58">
        <f t="shared" si="1"/>
        <v>60550</v>
      </c>
      <c r="F92" s="48"/>
    </row>
    <row r="93" ht="15.75" customHeight="1">
      <c r="A93" s="42">
        <v>46064.0</v>
      </c>
      <c r="B93" s="5" t="s">
        <v>6</v>
      </c>
      <c r="C93" s="25">
        <v>30000.0</v>
      </c>
      <c r="D93" s="23"/>
      <c r="E93" s="58">
        <f t="shared" si="1"/>
        <v>90550</v>
      </c>
      <c r="F93" s="49" t="s">
        <v>230</v>
      </c>
    </row>
    <row r="94" ht="15.75" customHeight="1">
      <c r="A94" s="42">
        <v>46068.0</v>
      </c>
      <c r="B94" s="5" t="s">
        <v>6</v>
      </c>
      <c r="C94" s="25">
        <v>67940.0</v>
      </c>
      <c r="D94" s="23"/>
      <c r="E94" s="58">
        <f t="shared" si="1"/>
        <v>158490</v>
      </c>
      <c r="F94" s="49" t="s">
        <v>233</v>
      </c>
    </row>
    <row r="95" ht="15.75" customHeight="1">
      <c r="A95" s="42">
        <v>46070.0</v>
      </c>
      <c r="B95" s="5" t="s">
        <v>6</v>
      </c>
      <c r="C95" s="25">
        <v>82500.0</v>
      </c>
      <c r="D95" s="23"/>
      <c r="E95" s="58">
        <f t="shared" si="1"/>
        <v>240990</v>
      </c>
      <c r="F95" s="49" t="s">
        <v>235</v>
      </c>
    </row>
    <row r="96" ht="15.75" customHeight="1">
      <c r="A96" s="42">
        <v>46071.0</v>
      </c>
      <c r="B96" s="5" t="s">
        <v>6</v>
      </c>
      <c r="C96" s="25">
        <v>55500.0</v>
      </c>
      <c r="D96" s="23"/>
      <c r="E96" s="58">
        <f t="shared" si="1"/>
        <v>296490</v>
      </c>
      <c r="F96" s="49" t="s">
        <v>238</v>
      </c>
    </row>
    <row r="97" ht="15.75" customHeight="1">
      <c r="A97" s="42">
        <v>46075.0</v>
      </c>
      <c r="B97" s="5" t="s">
        <v>6</v>
      </c>
      <c r="C97" s="25">
        <v>79000.0</v>
      </c>
      <c r="D97" s="23"/>
      <c r="E97" s="58">
        <f t="shared" si="1"/>
        <v>375490</v>
      </c>
      <c r="F97" s="49" t="s">
        <v>242</v>
      </c>
    </row>
    <row r="98" ht="15.75" customHeight="1">
      <c r="A98" s="42">
        <v>46076.0</v>
      </c>
      <c r="B98" s="5" t="s">
        <v>6</v>
      </c>
      <c r="C98" s="25">
        <v>55000.0</v>
      </c>
      <c r="D98" s="23"/>
      <c r="E98" s="58">
        <f t="shared" si="1"/>
        <v>430490</v>
      </c>
      <c r="F98" s="49" t="s">
        <v>247</v>
      </c>
    </row>
    <row r="99" ht="15.75" customHeight="1">
      <c r="A99" s="42">
        <v>46077.0</v>
      </c>
      <c r="B99" s="5" t="s">
        <v>6</v>
      </c>
      <c r="C99" s="25">
        <v>31000.0</v>
      </c>
      <c r="D99" s="23"/>
      <c r="E99" s="58">
        <f t="shared" si="1"/>
        <v>461490</v>
      </c>
      <c r="F99" s="49" t="s">
        <v>250</v>
      </c>
    </row>
    <row r="100" ht="15.75" customHeight="1">
      <c r="A100" s="42">
        <v>46078.0</v>
      </c>
      <c r="B100" s="5" t="s">
        <v>6</v>
      </c>
      <c r="C100" s="25">
        <v>28500.0</v>
      </c>
      <c r="D100" s="25"/>
      <c r="E100" s="58">
        <f t="shared" si="1"/>
        <v>489990</v>
      </c>
      <c r="F100" s="49" t="s">
        <v>253</v>
      </c>
    </row>
    <row r="101" ht="15.75" customHeight="1">
      <c r="A101" s="51"/>
      <c r="B101" s="6" t="s">
        <v>10</v>
      </c>
      <c r="C101" s="23"/>
      <c r="D101" s="25">
        <v>400000.0</v>
      </c>
      <c r="E101" s="58">
        <f t="shared" si="1"/>
        <v>89990</v>
      </c>
      <c r="F101" s="48"/>
    </row>
    <row r="102" ht="15.75" customHeight="1">
      <c r="A102" s="42">
        <v>46082.0</v>
      </c>
      <c r="B102" s="5" t="s">
        <v>6</v>
      </c>
      <c r="C102" s="25">
        <v>110500.0</v>
      </c>
      <c r="D102" s="23"/>
      <c r="E102" s="58">
        <f t="shared" si="1"/>
        <v>200490</v>
      </c>
      <c r="F102" s="49" t="s">
        <v>262</v>
      </c>
    </row>
    <row r="103" ht="15.75" customHeight="1">
      <c r="A103" s="42">
        <v>46082.0</v>
      </c>
      <c r="B103" s="5" t="s">
        <v>6</v>
      </c>
      <c r="C103" s="25">
        <v>21600.0</v>
      </c>
      <c r="D103" s="23"/>
      <c r="E103" s="58">
        <f t="shared" si="1"/>
        <v>222090</v>
      </c>
      <c r="F103" s="49" t="s">
        <v>266</v>
      </c>
    </row>
    <row r="104" ht="15.75" customHeight="1">
      <c r="A104" s="42">
        <v>46083.0</v>
      </c>
      <c r="B104" s="5" t="s">
        <v>6</v>
      </c>
      <c r="C104" s="25">
        <v>47800.0</v>
      </c>
      <c r="D104" s="23"/>
      <c r="E104" s="58">
        <f t="shared" si="1"/>
        <v>269890</v>
      </c>
      <c r="F104" s="49" t="s">
        <v>268</v>
      </c>
    </row>
    <row r="105" ht="15.75" customHeight="1">
      <c r="A105" s="42">
        <v>46084.0</v>
      </c>
      <c r="B105" s="5" t="s">
        <v>6</v>
      </c>
      <c r="C105" s="25">
        <v>52000.0</v>
      </c>
      <c r="D105" s="23"/>
      <c r="E105" s="58">
        <f t="shared" si="1"/>
        <v>321890</v>
      </c>
      <c r="F105" s="49" t="s">
        <v>270</v>
      </c>
    </row>
    <row r="106" ht="15.75" customHeight="1">
      <c r="A106" s="42">
        <v>46085.0</v>
      </c>
      <c r="B106" s="5" t="s">
        <v>6</v>
      </c>
      <c r="C106" s="25">
        <v>18000.0</v>
      </c>
      <c r="D106" s="23"/>
      <c r="E106" s="58">
        <f t="shared" si="1"/>
        <v>339890</v>
      </c>
      <c r="F106" s="49" t="s">
        <v>273</v>
      </c>
    </row>
    <row r="107" ht="15.75" customHeight="1">
      <c r="A107" s="42">
        <v>46086.0</v>
      </c>
      <c r="B107" s="5" t="s">
        <v>6</v>
      </c>
      <c r="C107" s="25">
        <v>24000.0</v>
      </c>
      <c r="D107" s="23"/>
      <c r="E107" s="58">
        <f t="shared" si="1"/>
        <v>363890</v>
      </c>
      <c r="F107" s="49" t="s">
        <v>275</v>
      </c>
    </row>
    <row r="108" ht="15.75" customHeight="1">
      <c r="A108" s="42">
        <v>46091.0</v>
      </c>
      <c r="B108" s="5" t="s">
        <v>6</v>
      </c>
      <c r="C108" s="25">
        <v>12000.0</v>
      </c>
      <c r="D108" s="23"/>
      <c r="E108" s="58">
        <f t="shared" si="1"/>
        <v>375890</v>
      </c>
      <c r="F108" s="49" t="s">
        <v>277</v>
      </c>
    </row>
    <row r="109" ht="15.75" customHeight="1">
      <c r="A109" s="42">
        <v>46093.0</v>
      </c>
      <c r="B109" s="5" t="s">
        <v>6</v>
      </c>
      <c r="C109" s="25">
        <v>24000.0</v>
      </c>
      <c r="D109" s="23"/>
      <c r="E109" s="58">
        <f t="shared" si="1"/>
        <v>399890</v>
      </c>
      <c r="F109" s="49" t="s">
        <v>279</v>
      </c>
    </row>
    <row r="110" ht="15.75" customHeight="1">
      <c r="A110" s="42">
        <v>46098.0</v>
      </c>
      <c r="B110" s="69" t="s">
        <v>10</v>
      </c>
      <c r="C110" s="70"/>
      <c r="D110" s="72">
        <v>400000.0</v>
      </c>
      <c r="E110" s="58">
        <f t="shared" si="1"/>
        <v>-110</v>
      </c>
      <c r="F110" s="48"/>
    </row>
    <row r="111" ht="15.75" customHeight="1">
      <c r="A111" s="42">
        <v>46107.0</v>
      </c>
      <c r="B111" s="5" t="s">
        <v>6</v>
      </c>
      <c r="C111" s="25">
        <v>110000.0</v>
      </c>
      <c r="D111" s="23"/>
      <c r="E111" s="58">
        <f t="shared" si="1"/>
        <v>109890</v>
      </c>
      <c r="F111" s="49" t="s">
        <v>284</v>
      </c>
    </row>
    <row r="112" ht="15.75" customHeight="1">
      <c r="A112" s="42">
        <v>46110.0</v>
      </c>
      <c r="B112" s="5" t="s">
        <v>6</v>
      </c>
      <c r="C112" s="25">
        <v>65000.0</v>
      </c>
      <c r="D112" s="23"/>
      <c r="E112" s="58">
        <f t="shared" si="1"/>
        <v>174890</v>
      </c>
      <c r="F112" s="49" t="s">
        <v>288</v>
      </c>
    </row>
    <row r="113" ht="15.75" customHeight="1">
      <c r="A113" s="42">
        <v>46113.0</v>
      </c>
      <c r="B113" s="32" t="s">
        <v>6</v>
      </c>
      <c r="C113" s="25">
        <v>165000.0</v>
      </c>
      <c r="D113" s="23"/>
      <c r="E113" s="58">
        <f t="shared" si="1"/>
        <v>339890</v>
      </c>
      <c r="F113" s="49" t="s">
        <v>291</v>
      </c>
    </row>
    <row r="114" ht="15.75" customHeight="1">
      <c r="A114" s="42">
        <v>46114.0</v>
      </c>
      <c r="B114" s="32" t="s">
        <v>6</v>
      </c>
      <c r="C114" s="25">
        <v>20000.0</v>
      </c>
      <c r="D114" s="23"/>
      <c r="E114" s="58">
        <f t="shared" si="1"/>
        <v>359890</v>
      </c>
      <c r="F114" s="49" t="s">
        <v>300</v>
      </c>
    </row>
    <row r="115" ht="15.75" customHeight="1">
      <c r="A115" s="42">
        <v>46116.0</v>
      </c>
      <c r="B115" s="32" t="s">
        <v>6</v>
      </c>
      <c r="C115" s="25">
        <v>30000.0</v>
      </c>
      <c r="D115" s="23"/>
      <c r="E115" s="58">
        <f t="shared" si="1"/>
        <v>389890</v>
      </c>
      <c r="F115" s="49" t="s">
        <v>302</v>
      </c>
    </row>
    <row r="116" ht="15.75" customHeight="1">
      <c r="A116" s="42">
        <v>46118.0</v>
      </c>
      <c r="B116" s="35" t="s">
        <v>6</v>
      </c>
      <c r="C116" s="25">
        <v>30000.0</v>
      </c>
      <c r="D116" s="23"/>
      <c r="E116" s="58">
        <f t="shared" si="1"/>
        <v>419890</v>
      </c>
      <c r="F116" s="49" t="s">
        <v>304</v>
      </c>
    </row>
    <row r="117" ht="15.75" customHeight="1">
      <c r="A117" s="51"/>
      <c r="B117" s="35" t="s">
        <v>10</v>
      </c>
      <c r="C117" s="23"/>
      <c r="D117" s="25">
        <v>175000.0</v>
      </c>
      <c r="E117" s="58">
        <f t="shared" si="1"/>
        <v>244890</v>
      </c>
      <c r="F117" s="48"/>
    </row>
    <row r="118" ht="15.75" customHeight="1">
      <c r="A118" s="42">
        <v>46119.0</v>
      </c>
      <c r="B118" s="35" t="s">
        <v>6</v>
      </c>
      <c r="C118" s="25">
        <v>80000.0</v>
      </c>
      <c r="D118" s="23"/>
      <c r="E118" s="58">
        <f t="shared" si="1"/>
        <v>324890</v>
      </c>
      <c r="F118" s="49" t="s">
        <v>308</v>
      </c>
    </row>
    <row r="119" ht="15.75" customHeight="1">
      <c r="A119" s="42">
        <v>46125.0</v>
      </c>
      <c r="B119" s="35" t="s">
        <v>6</v>
      </c>
      <c r="C119" s="25">
        <v>51000.0</v>
      </c>
      <c r="D119" s="23"/>
      <c r="E119" s="58">
        <f t="shared" si="1"/>
        <v>375890</v>
      </c>
      <c r="F119" s="49" t="s">
        <v>309</v>
      </c>
    </row>
    <row r="120" ht="15.75" customHeight="1">
      <c r="A120" s="81" t="s">
        <v>310</v>
      </c>
      <c r="B120" s="35" t="s">
        <v>6</v>
      </c>
      <c r="C120" s="25">
        <v>34000.0</v>
      </c>
      <c r="D120" s="23"/>
      <c r="E120" s="58">
        <f t="shared" si="1"/>
        <v>409890</v>
      </c>
      <c r="F120" s="49" t="s">
        <v>314</v>
      </c>
    </row>
    <row r="121" ht="15.75" customHeight="1">
      <c r="A121" s="42">
        <v>46128.0</v>
      </c>
      <c r="B121" s="35" t="s">
        <v>10</v>
      </c>
      <c r="C121" s="23"/>
      <c r="D121" s="25">
        <v>263000.0</v>
      </c>
      <c r="E121" s="58">
        <f t="shared" si="1"/>
        <v>146890</v>
      </c>
      <c r="F121" s="48"/>
    </row>
    <row r="122" ht="15.75" customHeight="1">
      <c r="A122" s="42">
        <v>46128.0</v>
      </c>
      <c r="B122" s="35" t="s">
        <v>6</v>
      </c>
      <c r="C122" s="25">
        <v>45120.0</v>
      </c>
      <c r="D122" s="23"/>
      <c r="E122" s="58">
        <f t="shared" si="1"/>
        <v>192010</v>
      </c>
      <c r="F122" s="49" t="s">
        <v>317</v>
      </c>
    </row>
    <row r="123" ht="15.75" customHeight="1">
      <c r="A123" s="42">
        <v>46130.0</v>
      </c>
      <c r="B123" s="35" t="s">
        <v>6</v>
      </c>
      <c r="C123" s="25">
        <v>20240.0</v>
      </c>
      <c r="D123" s="23"/>
      <c r="E123" s="58">
        <f t="shared" si="1"/>
        <v>212250</v>
      </c>
      <c r="F123" s="49" t="s">
        <v>318</v>
      </c>
    </row>
    <row r="124" ht="15.75" customHeight="1">
      <c r="A124" s="42">
        <v>46131.0</v>
      </c>
      <c r="B124" s="35" t="s">
        <v>6</v>
      </c>
      <c r="C124" s="25">
        <v>84900.0</v>
      </c>
      <c r="D124" s="23"/>
      <c r="E124" s="58">
        <f t="shared" si="1"/>
        <v>297150</v>
      </c>
      <c r="F124" s="49" t="s">
        <v>320</v>
      </c>
    </row>
    <row r="125" ht="15.75" customHeight="1">
      <c r="A125" s="42">
        <v>46132.0</v>
      </c>
      <c r="B125" s="35" t="s">
        <v>6</v>
      </c>
      <c r="C125" s="25">
        <v>82040.0</v>
      </c>
      <c r="D125" s="23"/>
      <c r="E125" s="58">
        <f t="shared" si="1"/>
        <v>379190</v>
      </c>
      <c r="F125" s="49" t="s">
        <v>322</v>
      </c>
    </row>
    <row r="126" ht="15.75" customHeight="1">
      <c r="A126" s="42">
        <v>46133.0</v>
      </c>
      <c r="B126" s="35" t="s">
        <v>6</v>
      </c>
      <c r="C126" s="25">
        <v>27960.0</v>
      </c>
      <c r="D126" s="23"/>
      <c r="E126" s="58">
        <f t="shared" si="1"/>
        <v>407150</v>
      </c>
      <c r="F126" s="49" t="s">
        <v>324</v>
      </c>
    </row>
    <row r="127" ht="15.75" customHeight="1">
      <c r="A127" s="42">
        <v>46134.0</v>
      </c>
      <c r="B127" s="35" t="s">
        <v>6</v>
      </c>
      <c r="C127" s="25">
        <v>24000.0</v>
      </c>
      <c r="D127" s="23"/>
      <c r="E127" s="58">
        <f t="shared" si="1"/>
        <v>431150</v>
      </c>
      <c r="F127" s="49" t="s">
        <v>325</v>
      </c>
    </row>
    <row r="128" ht="15.75" customHeight="1">
      <c r="A128" s="42">
        <v>46141.0</v>
      </c>
      <c r="B128" s="35" t="s">
        <v>6</v>
      </c>
      <c r="C128" s="25">
        <v>24000.0</v>
      </c>
      <c r="D128" s="23"/>
      <c r="E128" s="58">
        <f t="shared" si="1"/>
        <v>455150</v>
      </c>
      <c r="F128" s="49" t="s">
        <v>328</v>
      </c>
    </row>
    <row r="129" ht="15.75" customHeight="1">
      <c r="A129" s="42"/>
      <c r="B129" s="35" t="s">
        <v>10</v>
      </c>
      <c r="C129" s="23"/>
      <c r="D129" s="25">
        <v>430000.0</v>
      </c>
      <c r="E129" s="58">
        <f t="shared" si="1"/>
        <v>25150</v>
      </c>
      <c r="F129" s="48"/>
    </row>
    <row r="130" ht="15.75" customHeight="1">
      <c r="A130" s="42">
        <v>46142.0</v>
      </c>
      <c r="B130" s="35" t="s">
        <v>6</v>
      </c>
      <c r="C130" s="25">
        <v>30540.0</v>
      </c>
      <c r="D130" s="23"/>
      <c r="E130" s="58">
        <f t="shared" si="1"/>
        <v>55690</v>
      </c>
      <c r="F130" s="49" t="s">
        <v>331</v>
      </c>
    </row>
    <row r="131" ht="15.75" customHeight="1">
      <c r="A131" s="42">
        <v>46154.0</v>
      </c>
      <c r="B131" s="35" t="s">
        <v>6</v>
      </c>
      <c r="C131" s="25">
        <v>8700.0</v>
      </c>
      <c r="D131" s="23"/>
      <c r="E131" s="58">
        <f t="shared" si="1"/>
        <v>64390</v>
      </c>
      <c r="F131" s="49" t="s">
        <v>333</v>
      </c>
    </row>
    <row r="132" ht="15.75" customHeight="1">
      <c r="A132" s="42">
        <v>46159.0</v>
      </c>
      <c r="B132" s="35" t="s">
        <v>6</v>
      </c>
      <c r="C132" s="25">
        <v>34500.0</v>
      </c>
      <c r="D132" s="23"/>
      <c r="E132" s="58">
        <f t="shared" si="1"/>
        <v>98890</v>
      </c>
      <c r="F132" s="49" t="s">
        <v>336</v>
      </c>
    </row>
    <row r="133" ht="15.75" customHeight="1">
      <c r="A133" s="42">
        <v>46181.0</v>
      </c>
      <c r="B133" s="35" t="s">
        <v>6</v>
      </c>
      <c r="C133" s="25">
        <v>23000.0</v>
      </c>
      <c r="D133" s="23"/>
      <c r="E133" s="58">
        <f t="shared" si="1"/>
        <v>121890</v>
      </c>
      <c r="F133" s="49" t="s">
        <v>337</v>
      </c>
    </row>
    <row r="134" ht="15.75" customHeight="1">
      <c r="A134" s="42">
        <v>46183.0</v>
      </c>
      <c r="B134" s="86" t="s">
        <v>10</v>
      </c>
      <c r="C134" s="87"/>
      <c r="D134" s="59">
        <v>98000.0</v>
      </c>
      <c r="E134" s="58">
        <f t="shared" si="1"/>
        <v>23890</v>
      </c>
      <c r="F134" s="48"/>
    </row>
    <row r="135" ht="15.75" customHeight="1">
      <c r="A135" s="42">
        <v>46184.0</v>
      </c>
      <c r="B135" s="35" t="s">
        <v>6</v>
      </c>
      <c r="C135" s="25">
        <v>61440.0</v>
      </c>
      <c r="D135" s="23"/>
      <c r="E135" s="58">
        <f t="shared" si="1"/>
        <v>85330</v>
      </c>
      <c r="F135" s="49" t="s">
        <v>341</v>
      </c>
    </row>
    <row r="136" ht="15.75" customHeight="1">
      <c r="A136" s="42">
        <v>46187.0</v>
      </c>
      <c r="B136" s="35" t="s">
        <v>6</v>
      </c>
      <c r="C136" s="25">
        <v>88520.0</v>
      </c>
      <c r="D136" s="23"/>
      <c r="E136" s="58">
        <f t="shared" si="1"/>
        <v>173850</v>
      </c>
      <c r="F136" s="49" t="s">
        <v>343</v>
      </c>
    </row>
    <row r="137" ht="15.75" customHeight="1">
      <c r="A137" s="42">
        <v>46190.0</v>
      </c>
      <c r="B137" s="35" t="s">
        <v>6</v>
      </c>
      <c r="C137" s="25">
        <v>25940.0</v>
      </c>
      <c r="D137" s="23"/>
      <c r="E137" s="58">
        <f t="shared" si="1"/>
        <v>199790</v>
      </c>
      <c r="F137" s="49" t="s">
        <v>344</v>
      </c>
    </row>
    <row r="138" ht="15.75" customHeight="1">
      <c r="A138" s="42">
        <v>46191.0</v>
      </c>
      <c r="B138" s="35" t="s">
        <v>6</v>
      </c>
      <c r="C138" s="25">
        <v>36300.0</v>
      </c>
      <c r="D138" s="23"/>
      <c r="E138" s="58">
        <f t="shared" si="1"/>
        <v>236090</v>
      </c>
      <c r="F138" s="49" t="s">
        <v>345</v>
      </c>
    </row>
    <row r="139" ht="15.75" customHeight="1">
      <c r="A139" s="42">
        <v>46194.0</v>
      </c>
      <c r="B139" s="35" t="s">
        <v>6</v>
      </c>
      <c r="C139" s="25">
        <v>18360.0</v>
      </c>
      <c r="D139" s="23"/>
      <c r="E139" s="58">
        <f t="shared" si="1"/>
        <v>254450</v>
      </c>
      <c r="F139" s="49" t="s">
        <v>347</v>
      </c>
    </row>
    <row r="140" ht="15.75" customHeight="1">
      <c r="A140" s="42">
        <v>46202.0</v>
      </c>
      <c r="B140" s="32" t="s">
        <v>10</v>
      </c>
      <c r="C140" s="45"/>
      <c r="D140" s="44">
        <v>200000.0</v>
      </c>
      <c r="E140" s="58">
        <f t="shared" si="1"/>
        <v>54450</v>
      </c>
      <c r="F140" s="48"/>
    </row>
    <row r="141" ht="15.75" customHeight="1">
      <c r="A141" s="42">
        <v>46219.0</v>
      </c>
      <c r="B141" s="88" t="s">
        <v>348</v>
      </c>
      <c r="C141" s="89"/>
      <c r="D141" s="90">
        <v>28940.0</v>
      </c>
      <c r="E141" s="58">
        <f t="shared" si="1"/>
        <v>25510</v>
      </c>
      <c r="F141" s="49" t="s">
        <v>348</v>
      </c>
    </row>
    <row r="142" ht="15.75" customHeight="1">
      <c r="A142" s="51"/>
      <c r="C142" s="23"/>
      <c r="D142" s="23"/>
      <c r="F142" s="48"/>
    </row>
    <row r="143" ht="15.75" customHeight="1">
      <c r="A143" s="51"/>
      <c r="C143" s="23"/>
      <c r="D143" s="23"/>
      <c r="F143" s="48"/>
    </row>
    <row r="144" ht="15.75" customHeight="1">
      <c r="A144" s="51"/>
      <c r="C144" s="23"/>
      <c r="D144" s="23"/>
      <c r="F144" s="48"/>
    </row>
    <row r="145" ht="15.75" customHeight="1">
      <c r="A145" s="51"/>
      <c r="C145" s="23"/>
      <c r="D145" s="23"/>
      <c r="F145" s="48"/>
    </row>
    <row r="146" ht="15.75" customHeight="1">
      <c r="A146" s="51"/>
      <c r="C146" s="23"/>
      <c r="D146" s="23"/>
      <c r="F146" s="48"/>
    </row>
    <row r="147" ht="15.75" customHeight="1">
      <c r="A147" s="51"/>
      <c r="C147" s="23"/>
      <c r="D147" s="23"/>
      <c r="F147" s="48"/>
    </row>
    <row r="148" ht="15.75" customHeight="1">
      <c r="A148" s="51"/>
      <c r="C148" s="23"/>
      <c r="D148" s="23"/>
      <c r="F148" s="48"/>
    </row>
    <row r="149" ht="15.75" customHeight="1">
      <c r="A149" s="51"/>
      <c r="C149" s="23"/>
      <c r="D149" s="23"/>
      <c r="F149" s="48"/>
    </row>
    <row r="150" ht="15.75" customHeight="1">
      <c r="A150" s="51"/>
      <c r="C150" s="23"/>
      <c r="D150" s="23"/>
      <c r="F150" s="48"/>
    </row>
    <row r="151" ht="15.75" customHeight="1">
      <c r="A151" s="51"/>
      <c r="C151" s="23"/>
      <c r="D151" s="23"/>
      <c r="F151" s="48"/>
    </row>
    <row r="152" ht="15.75" customHeight="1">
      <c r="A152" s="51"/>
      <c r="C152" s="23"/>
      <c r="D152" s="23"/>
      <c r="F152" s="48"/>
    </row>
    <row r="153" ht="15.75" customHeight="1">
      <c r="A153" s="51"/>
      <c r="C153" s="23"/>
      <c r="D153" s="23"/>
      <c r="F153" s="48"/>
    </row>
    <row r="154" ht="15.75" customHeight="1">
      <c r="A154" s="51"/>
      <c r="C154" s="23"/>
      <c r="D154" s="23"/>
      <c r="F154" s="48"/>
    </row>
    <row r="155" ht="15.75" customHeight="1">
      <c r="A155" s="51"/>
      <c r="C155" s="23"/>
      <c r="D155" s="23"/>
      <c r="F155" s="48"/>
    </row>
    <row r="156" ht="15.75" customHeight="1">
      <c r="A156" s="51"/>
      <c r="C156" s="23"/>
      <c r="D156" s="23"/>
      <c r="F156" s="48"/>
    </row>
    <row r="157" ht="15.75" customHeight="1">
      <c r="A157" s="51"/>
      <c r="C157" s="23"/>
      <c r="D157" s="23"/>
      <c r="F157" s="48"/>
    </row>
    <row r="158" ht="15.75" customHeight="1">
      <c r="A158" s="51"/>
      <c r="C158" s="23"/>
      <c r="D158" s="23"/>
      <c r="F158" s="48"/>
    </row>
    <row r="159" ht="15.75" customHeight="1">
      <c r="A159" s="51"/>
      <c r="C159" s="23"/>
      <c r="D159" s="23"/>
      <c r="F159" s="48"/>
    </row>
    <row r="160" ht="15.75" customHeight="1">
      <c r="A160" s="51"/>
      <c r="C160" s="23"/>
      <c r="D160" s="23"/>
      <c r="F160" s="48"/>
    </row>
    <row r="161" ht="15.75" customHeight="1">
      <c r="A161" s="51"/>
      <c r="C161" s="23"/>
      <c r="D161" s="23"/>
      <c r="F161" s="48"/>
    </row>
    <row r="162" ht="15.75" customHeight="1">
      <c r="A162" s="51"/>
      <c r="C162" s="23"/>
      <c r="D162" s="23"/>
      <c r="F162" s="48"/>
    </row>
    <row r="163" ht="15.75" customHeight="1">
      <c r="A163" s="51"/>
      <c r="C163" s="23"/>
      <c r="D163" s="23"/>
      <c r="F163" s="48"/>
    </row>
    <row r="164" ht="15.75" customHeight="1">
      <c r="A164" s="51"/>
      <c r="F164" s="48"/>
    </row>
    <row r="165" ht="15.75" customHeight="1">
      <c r="A165" s="51"/>
      <c r="F165" s="48"/>
    </row>
    <row r="166" ht="15.75" customHeight="1">
      <c r="A166" s="51"/>
      <c r="F166" s="48"/>
    </row>
    <row r="167" ht="15.75" customHeight="1">
      <c r="A167" s="51"/>
      <c r="F167" s="48"/>
    </row>
    <row r="168" ht="15.75" customHeight="1">
      <c r="A168" s="51"/>
      <c r="F168" s="48"/>
    </row>
    <row r="169" ht="15.75" customHeight="1">
      <c r="A169" s="51"/>
      <c r="F169" s="48"/>
    </row>
    <row r="170" ht="15.75" customHeight="1">
      <c r="A170" s="51"/>
      <c r="F170" s="48"/>
    </row>
    <row r="171" ht="15.75" customHeight="1">
      <c r="A171" s="51"/>
      <c r="F171" s="48"/>
    </row>
    <row r="172" ht="15.75" customHeight="1">
      <c r="A172" s="92"/>
      <c r="F172" s="48"/>
    </row>
    <row r="173" ht="15.75" customHeight="1">
      <c r="A173" s="92"/>
      <c r="F173" s="48"/>
    </row>
    <row r="174" ht="15.75" customHeight="1">
      <c r="F174" s="48"/>
    </row>
    <row r="175" ht="15.75" customHeight="1">
      <c r="F175" s="48"/>
    </row>
    <row r="176" ht="15.75" customHeight="1">
      <c r="F176" s="48"/>
    </row>
    <row r="177" ht="15.75" customHeight="1">
      <c r="F177" s="48"/>
    </row>
    <row r="178" ht="15.75" customHeight="1">
      <c r="F178" s="48"/>
    </row>
    <row r="179" ht="15.75" customHeight="1">
      <c r="F179" s="48"/>
    </row>
    <row r="180" ht="15.75" customHeight="1">
      <c r="F180" s="48"/>
    </row>
    <row r="181" ht="15.75" customHeight="1">
      <c r="F181" s="48"/>
    </row>
    <row r="182" ht="15.75" customHeight="1">
      <c r="F182" s="48"/>
    </row>
    <row r="183" ht="15.75" customHeight="1">
      <c r="F183" s="48"/>
    </row>
    <row r="184" ht="15.75" customHeight="1">
      <c r="F184" s="48"/>
    </row>
    <row r="185" ht="15.75" customHeight="1">
      <c r="F185" s="48"/>
    </row>
    <row r="186" ht="15.75" customHeight="1">
      <c r="F186" s="48"/>
    </row>
    <row r="187" ht="15.75" customHeight="1">
      <c r="F187" s="48"/>
    </row>
    <row r="188" ht="15.75" customHeight="1">
      <c r="F188" s="48"/>
    </row>
    <row r="189" ht="15.75" customHeight="1">
      <c r="F189" s="48"/>
    </row>
    <row r="190" ht="15.75" customHeight="1">
      <c r="F190" s="48"/>
    </row>
    <row r="191" ht="15.75" customHeight="1">
      <c r="F191" s="48"/>
    </row>
    <row r="192" ht="15.75" customHeight="1">
      <c r="F192" s="48"/>
    </row>
    <row r="193" ht="15.75" customHeight="1">
      <c r="F193" s="48"/>
    </row>
    <row r="194" ht="15.75" customHeight="1">
      <c r="F194" s="48"/>
    </row>
    <row r="195" ht="15.75" customHeight="1">
      <c r="F195" s="48"/>
    </row>
    <row r="196" ht="15.75" customHeight="1">
      <c r="F196" s="48"/>
    </row>
    <row r="197" ht="15.75" customHeight="1">
      <c r="F197" s="48"/>
    </row>
    <row r="198" ht="15.75" customHeight="1">
      <c r="F198" s="48"/>
    </row>
    <row r="199" ht="15.75" customHeight="1">
      <c r="F199" s="48"/>
    </row>
    <row r="200" ht="15.75" customHeight="1">
      <c r="F200" s="48"/>
    </row>
    <row r="201" ht="15.75" customHeight="1">
      <c r="F201" s="48"/>
    </row>
    <row r="202" ht="15.75" customHeight="1">
      <c r="F202" s="48"/>
    </row>
    <row r="203" ht="15.75" customHeight="1">
      <c r="F203" s="48"/>
    </row>
    <row r="204" ht="15.75" customHeight="1">
      <c r="F204" s="48"/>
    </row>
    <row r="205" ht="15.75" customHeight="1">
      <c r="F205" s="48"/>
    </row>
    <row r="206" ht="15.75" customHeight="1">
      <c r="F206" s="48"/>
    </row>
    <row r="207" ht="15.75" customHeight="1">
      <c r="F207" s="48"/>
    </row>
    <row r="208" ht="15.75" customHeight="1">
      <c r="F208" s="48"/>
    </row>
    <row r="209" ht="15.75" customHeight="1">
      <c r="F209" s="48"/>
    </row>
    <row r="210" ht="15.75" customHeight="1">
      <c r="F210" s="48"/>
    </row>
    <row r="211" ht="15.75" customHeight="1">
      <c r="F211" s="48"/>
    </row>
    <row r="212" ht="15.75" customHeight="1">
      <c r="F212" s="48"/>
    </row>
    <row r="213" ht="15.75" customHeight="1">
      <c r="F213" s="48"/>
    </row>
    <row r="214" ht="15.75" customHeight="1">
      <c r="F214" s="48"/>
    </row>
    <row r="215" ht="15.75" customHeight="1">
      <c r="F215" s="48"/>
    </row>
    <row r="216" ht="15.75" customHeight="1">
      <c r="F216" s="48"/>
    </row>
    <row r="217" ht="15.75" customHeight="1">
      <c r="F217" s="48"/>
    </row>
    <row r="218" ht="15.75" customHeight="1">
      <c r="F218" s="48"/>
    </row>
    <row r="219" ht="15.75" customHeight="1">
      <c r="F219" s="48"/>
    </row>
    <row r="220" ht="15.75" customHeight="1">
      <c r="F220" s="48"/>
    </row>
    <row r="221" ht="15.75" customHeight="1">
      <c r="F221" s="48"/>
    </row>
    <row r="222" ht="15.75" customHeight="1">
      <c r="F222" s="48"/>
    </row>
    <row r="223" ht="15.75" customHeight="1">
      <c r="F223" s="48"/>
    </row>
    <row r="224" ht="15.75" customHeight="1">
      <c r="F224" s="48"/>
    </row>
    <row r="225" ht="15.75" customHeight="1">
      <c r="F225" s="48"/>
    </row>
    <row r="226" ht="15.75" customHeight="1">
      <c r="F226" s="48"/>
    </row>
    <row r="227" ht="15.75" customHeight="1">
      <c r="F227" s="48"/>
    </row>
    <row r="228" ht="15.75" customHeight="1">
      <c r="F228" s="48"/>
    </row>
    <row r="229" ht="15.75" customHeight="1">
      <c r="F229" s="48"/>
    </row>
    <row r="230" ht="15.75" customHeight="1">
      <c r="F230" s="48"/>
    </row>
    <row r="231" ht="15.75" customHeight="1">
      <c r="F231" s="48"/>
    </row>
    <row r="232" ht="15.75" customHeight="1">
      <c r="F232" s="48"/>
    </row>
    <row r="233" ht="15.75" customHeight="1">
      <c r="F233" s="48"/>
    </row>
    <row r="234" ht="15.75" customHeight="1">
      <c r="F234" s="48"/>
    </row>
    <row r="235" ht="15.75" customHeight="1">
      <c r="F235" s="48"/>
    </row>
    <row r="236" ht="15.75" customHeight="1">
      <c r="F236" s="48"/>
    </row>
    <row r="237" ht="15.75" customHeight="1">
      <c r="F237" s="48"/>
    </row>
    <row r="238" ht="15.75" customHeight="1">
      <c r="F238" s="48"/>
    </row>
    <row r="239" ht="15.75" customHeight="1">
      <c r="F239" s="48"/>
    </row>
    <row r="240" ht="15.75" customHeight="1">
      <c r="F240" s="48"/>
    </row>
    <row r="241" ht="15.75" customHeight="1">
      <c r="F241" s="48"/>
    </row>
    <row r="242" ht="15.75" customHeight="1">
      <c r="F242" s="48"/>
    </row>
    <row r="243" ht="15.75" customHeight="1">
      <c r="F243" s="48"/>
    </row>
    <row r="244" ht="15.75" customHeight="1">
      <c r="F244" s="48"/>
    </row>
    <row r="245" ht="15.75" customHeight="1">
      <c r="F245" s="48"/>
    </row>
    <row r="246" ht="15.75" customHeight="1">
      <c r="F246" s="48"/>
    </row>
    <row r="247" ht="15.75" customHeight="1">
      <c r="F247" s="48"/>
    </row>
    <row r="248" ht="15.75" customHeight="1">
      <c r="F248" s="48"/>
    </row>
    <row r="249" ht="15.75" customHeight="1">
      <c r="F249" s="48"/>
    </row>
    <row r="250" ht="15.75" customHeight="1">
      <c r="F250" s="48"/>
    </row>
    <row r="251" ht="15.75" customHeight="1">
      <c r="F251" s="48"/>
    </row>
    <row r="252" ht="15.75" customHeight="1">
      <c r="F252" s="48"/>
    </row>
    <row r="253" ht="15.75" customHeight="1">
      <c r="F253" s="48"/>
    </row>
    <row r="254" ht="15.75" customHeight="1">
      <c r="F254" s="48"/>
    </row>
    <row r="255" ht="15.75" customHeight="1">
      <c r="F255" s="48"/>
    </row>
    <row r="256" ht="15.75" customHeight="1">
      <c r="F256" s="48"/>
    </row>
    <row r="257" ht="15.75" customHeight="1">
      <c r="F257" s="48"/>
    </row>
    <row r="258" ht="15.75" customHeight="1">
      <c r="F258" s="48"/>
    </row>
    <row r="259" ht="15.75" customHeight="1">
      <c r="F259" s="48"/>
    </row>
    <row r="260" ht="15.75" customHeight="1">
      <c r="F260" s="48"/>
    </row>
    <row r="261" ht="15.75" customHeight="1">
      <c r="F261" s="48"/>
    </row>
    <row r="262" ht="15.75" customHeight="1">
      <c r="F262" s="48"/>
    </row>
    <row r="263" ht="15.75" customHeight="1">
      <c r="F263" s="48"/>
    </row>
    <row r="264" ht="15.75" customHeight="1">
      <c r="F264" s="48"/>
    </row>
    <row r="265" ht="15.75" customHeight="1">
      <c r="F265" s="48"/>
    </row>
    <row r="266" ht="15.75" customHeight="1">
      <c r="F266" s="48"/>
    </row>
    <row r="267" ht="15.75" customHeight="1">
      <c r="F267" s="48"/>
    </row>
    <row r="268" ht="15.75" customHeight="1">
      <c r="F268" s="48"/>
    </row>
    <row r="269" ht="15.75" customHeight="1">
      <c r="F269" s="48"/>
    </row>
    <row r="270" ht="15.75" customHeight="1">
      <c r="F270" s="48"/>
    </row>
    <row r="271" ht="15.75" customHeight="1">
      <c r="F271" s="48"/>
    </row>
    <row r="272" ht="15.75" customHeight="1">
      <c r="F272" s="48"/>
    </row>
    <row r="273" ht="15.75" customHeight="1">
      <c r="F273" s="48"/>
    </row>
    <row r="274" ht="15.75" customHeight="1">
      <c r="F274" s="48"/>
    </row>
    <row r="275" ht="15.75" customHeight="1">
      <c r="F275" s="48"/>
    </row>
    <row r="276" ht="15.75" customHeight="1">
      <c r="F276" s="48"/>
    </row>
    <row r="277" ht="15.75" customHeight="1">
      <c r="F277" s="48"/>
    </row>
    <row r="278" ht="15.75" customHeight="1">
      <c r="F278" s="48"/>
    </row>
    <row r="279" ht="15.75" customHeight="1">
      <c r="F279" s="48"/>
    </row>
    <row r="280" ht="15.75" customHeight="1">
      <c r="F280" s="48"/>
    </row>
    <row r="281" ht="15.75" customHeight="1">
      <c r="F281" s="48"/>
    </row>
    <row r="282" ht="15.75" customHeight="1">
      <c r="F282" s="48"/>
    </row>
    <row r="283" ht="15.75" customHeight="1">
      <c r="F283" s="48"/>
    </row>
    <row r="284" ht="15.75" customHeight="1">
      <c r="F284" s="48"/>
    </row>
    <row r="285" ht="15.75" customHeight="1">
      <c r="F285" s="48"/>
    </row>
    <row r="286" ht="15.75" customHeight="1">
      <c r="F286" s="48"/>
    </row>
    <row r="287" ht="15.75" customHeight="1">
      <c r="F287" s="48"/>
    </row>
    <row r="288" ht="15.75" customHeight="1">
      <c r="F288" s="48"/>
    </row>
    <row r="289" ht="15.75" customHeight="1">
      <c r="F289" s="48"/>
    </row>
    <row r="290" ht="15.75" customHeight="1">
      <c r="F290" s="48"/>
    </row>
    <row r="291" ht="15.75" customHeight="1">
      <c r="F291" s="48"/>
    </row>
    <row r="292" ht="15.75" customHeight="1">
      <c r="F292" s="48"/>
    </row>
    <row r="293" ht="15.75" customHeight="1">
      <c r="F293" s="48"/>
    </row>
    <row r="294" ht="15.75" customHeight="1">
      <c r="F294" s="48"/>
    </row>
    <row r="295" ht="15.75" customHeight="1">
      <c r="F295" s="48"/>
    </row>
    <row r="296" ht="15.75" customHeight="1">
      <c r="F296" s="48"/>
    </row>
    <row r="297" ht="15.75" customHeight="1">
      <c r="F297" s="48"/>
    </row>
    <row r="298" ht="15.75" customHeight="1">
      <c r="F298" s="48"/>
    </row>
    <row r="299" ht="15.75" customHeight="1">
      <c r="F299" s="48"/>
    </row>
    <row r="300" ht="15.75" customHeight="1">
      <c r="F300" s="48"/>
    </row>
    <row r="301" ht="15.75" customHeight="1">
      <c r="F301" s="48"/>
    </row>
    <row r="302" ht="15.75" customHeight="1">
      <c r="F302" s="48"/>
    </row>
    <row r="303" ht="15.75" customHeight="1">
      <c r="F303" s="48"/>
    </row>
    <row r="304" ht="15.75" customHeight="1">
      <c r="F304" s="48"/>
    </row>
    <row r="305" ht="15.75" customHeight="1">
      <c r="F305" s="48"/>
    </row>
    <row r="306" ht="15.75" customHeight="1">
      <c r="F306" s="48"/>
    </row>
    <row r="307" ht="15.75" customHeight="1">
      <c r="F307" s="48"/>
    </row>
    <row r="308" ht="15.75" customHeight="1">
      <c r="F308" s="48"/>
    </row>
    <row r="309" ht="15.75" customHeight="1">
      <c r="F309" s="48"/>
    </row>
    <row r="310" ht="15.75" customHeight="1">
      <c r="F310" s="48"/>
    </row>
    <row r="311" ht="15.75" customHeight="1">
      <c r="F311" s="48"/>
    </row>
    <row r="312" ht="15.75" customHeight="1">
      <c r="F312" s="48"/>
    </row>
    <row r="313" ht="15.75" customHeight="1">
      <c r="F313" s="48"/>
    </row>
    <row r="314" ht="15.75" customHeight="1">
      <c r="F314" s="48"/>
    </row>
    <row r="315" ht="15.75" customHeight="1">
      <c r="F315" s="48"/>
    </row>
    <row r="316" ht="15.75" customHeight="1">
      <c r="F316" s="48"/>
    </row>
    <row r="317" ht="15.75" customHeight="1">
      <c r="F317" s="48"/>
    </row>
    <row r="318" ht="15.75" customHeight="1">
      <c r="F318" s="48"/>
    </row>
    <row r="319" ht="15.75" customHeight="1">
      <c r="F319" s="48"/>
    </row>
    <row r="320" ht="15.75" customHeight="1">
      <c r="F320" s="48"/>
    </row>
    <row r="321" ht="15.75" customHeight="1">
      <c r="F321" s="48"/>
    </row>
    <row r="322" ht="15.75" customHeight="1">
      <c r="F322" s="48"/>
    </row>
    <row r="323" ht="15.75" customHeight="1">
      <c r="F323" s="48"/>
    </row>
    <row r="324" ht="15.75" customHeight="1">
      <c r="F324" s="48"/>
    </row>
    <row r="325" ht="15.75" customHeight="1">
      <c r="F325" s="48"/>
    </row>
    <row r="326" ht="15.75" customHeight="1">
      <c r="F326" s="48"/>
    </row>
    <row r="327" ht="15.75" customHeight="1">
      <c r="F327" s="48"/>
    </row>
    <row r="328" ht="15.75" customHeight="1">
      <c r="F328" s="48"/>
    </row>
    <row r="329" ht="15.75" customHeight="1">
      <c r="F329" s="48"/>
    </row>
    <row r="330" ht="15.75" customHeight="1">
      <c r="F330" s="48"/>
    </row>
    <row r="331" ht="15.75" customHeight="1">
      <c r="F331" s="48"/>
    </row>
    <row r="332" ht="15.75" customHeight="1">
      <c r="F332" s="48"/>
    </row>
    <row r="333" ht="15.75" customHeight="1">
      <c r="F333" s="48"/>
    </row>
    <row r="334" ht="15.75" customHeight="1">
      <c r="F334" s="48"/>
    </row>
    <row r="335" ht="15.75" customHeight="1">
      <c r="F335" s="48"/>
    </row>
    <row r="336" ht="15.75" customHeight="1">
      <c r="F336" s="48"/>
    </row>
    <row r="337" ht="15.75" customHeight="1">
      <c r="F337" s="48"/>
    </row>
    <row r="338" ht="15.75" customHeight="1">
      <c r="F338" s="48"/>
    </row>
    <row r="339" ht="15.75" customHeight="1">
      <c r="F339" s="48"/>
    </row>
    <row r="340" ht="15.75" customHeight="1">
      <c r="F340" s="48"/>
    </row>
    <row r="341" ht="15.75" customHeight="1">
      <c r="F341" s="48"/>
    </row>
    <row r="342" ht="15.75" customHeight="1">
      <c r="F342" s="48"/>
    </row>
    <row r="343" ht="15.75" customHeight="1">
      <c r="F343" s="48"/>
    </row>
    <row r="344" ht="15.75" customHeight="1">
      <c r="F344" s="48"/>
    </row>
    <row r="345" ht="15.75" customHeight="1">
      <c r="F345" s="48"/>
    </row>
    <row r="346" ht="15.75" customHeight="1">
      <c r="F346" s="48"/>
    </row>
    <row r="347" ht="15.75" customHeight="1">
      <c r="F347" s="48"/>
    </row>
    <row r="348" ht="15.75" customHeight="1">
      <c r="F348" s="48"/>
    </row>
    <row r="349" ht="15.75" customHeight="1">
      <c r="F349" s="48"/>
    </row>
    <row r="350" ht="15.75" customHeight="1">
      <c r="F350" s="48"/>
    </row>
    <row r="351" ht="15.75" customHeight="1">
      <c r="F351" s="48"/>
    </row>
    <row r="352" ht="15.75" customHeight="1">
      <c r="F352" s="48"/>
    </row>
    <row r="353" ht="15.75" customHeight="1">
      <c r="F353" s="48"/>
    </row>
    <row r="354" ht="15.75" customHeight="1">
      <c r="F354" s="48"/>
    </row>
    <row r="355" ht="15.75" customHeight="1">
      <c r="F355" s="48"/>
    </row>
    <row r="356" ht="15.75" customHeight="1">
      <c r="F356" s="48"/>
    </row>
    <row r="357" ht="15.75" customHeight="1">
      <c r="F357" s="48"/>
    </row>
    <row r="358" ht="15.75" customHeight="1">
      <c r="F358" s="48"/>
    </row>
    <row r="359" ht="15.75" customHeight="1">
      <c r="F359" s="48"/>
    </row>
    <row r="360" ht="15.75" customHeight="1">
      <c r="F360" s="48"/>
    </row>
    <row r="361" ht="15.75" customHeight="1">
      <c r="F361" s="48"/>
    </row>
    <row r="362" ht="15.75" customHeight="1">
      <c r="F362" s="48"/>
    </row>
    <row r="363" ht="15.75" customHeight="1">
      <c r="F363" s="48"/>
    </row>
    <row r="364" ht="15.75" customHeight="1">
      <c r="F364" s="48"/>
    </row>
    <row r="365" ht="15.75" customHeight="1">
      <c r="F365" s="48"/>
    </row>
    <row r="366" ht="15.75" customHeight="1">
      <c r="F366" s="48"/>
    </row>
    <row r="367" ht="15.75" customHeight="1">
      <c r="F367" s="48"/>
    </row>
    <row r="368" ht="15.75" customHeight="1">
      <c r="F368" s="48"/>
    </row>
    <row r="369" ht="15.75" customHeight="1">
      <c r="F369" s="48"/>
    </row>
    <row r="370" ht="15.75" customHeight="1">
      <c r="F370" s="48"/>
    </row>
    <row r="371" ht="15.75" customHeight="1">
      <c r="F371" s="48"/>
    </row>
    <row r="372" ht="15.75" customHeight="1">
      <c r="F372" s="48"/>
    </row>
    <row r="373" ht="15.75" customHeight="1">
      <c r="F373" s="48"/>
    </row>
    <row r="374" ht="15.75" customHeight="1">
      <c r="F374" s="48"/>
    </row>
    <row r="375" ht="15.75" customHeight="1">
      <c r="F375" s="48"/>
    </row>
    <row r="376" ht="15.75" customHeight="1">
      <c r="F376" s="48"/>
    </row>
    <row r="377" ht="15.75" customHeight="1">
      <c r="F377" s="48"/>
    </row>
    <row r="378" ht="15.75" customHeight="1">
      <c r="F378" s="48"/>
    </row>
    <row r="379" ht="15.75" customHeight="1">
      <c r="F379" s="48"/>
    </row>
    <row r="380" ht="15.75" customHeight="1">
      <c r="F380" s="48"/>
    </row>
    <row r="381" ht="15.75" customHeight="1">
      <c r="F381" s="48"/>
    </row>
    <row r="382" ht="15.75" customHeight="1">
      <c r="F382" s="48"/>
    </row>
    <row r="383" ht="15.75" customHeight="1">
      <c r="F383" s="48"/>
    </row>
    <row r="384" ht="15.75" customHeight="1">
      <c r="F384" s="48"/>
    </row>
    <row r="385" ht="15.75" customHeight="1">
      <c r="F385" s="48"/>
    </row>
    <row r="386" ht="15.75" customHeight="1">
      <c r="F386" s="48"/>
    </row>
    <row r="387" ht="15.75" customHeight="1">
      <c r="F387" s="48"/>
    </row>
    <row r="388" ht="15.75" customHeight="1">
      <c r="F388" s="48"/>
    </row>
    <row r="389" ht="15.75" customHeight="1">
      <c r="F389" s="48"/>
    </row>
    <row r="390" ht="15.75" customHeight="1">
      <c r="F390" s="48"/>
    </row>
    <row r="391" ht="15.75" customHeight="1">
      <c r="F391" s="48"/>
    </row>
    <row r="392" ht="15.75" customHeight="1">
      <c r="F392" s="48"/>
    </row>
    <row r="393" ht="15.75" customHeight="1">
      <c r="F393" s="48"/>
    </row>
    <row r="394" ht="15.75" customHeight="1">
      <c r="F394" s="48"/>
    </row>
    <row r="395" ht="15.75" customHeight="1">
      <c r="F395" s="48"/>
    </row>
    <row r="396" ht="15.75" customHeight="1">
      <c r="F396" s="48"/>
    </row>
    <row r="397" ht="15.75" customHeight="1">
      <c r="F397" s="48"/>
    </row>
    <row r="398" ht="15.75" customHeight="1">
      <c r="F398" s="48"/>
    </row>
    <row r="399" ht="15.75" customHeight="1">
      <c r="F399" s="48"/>
    </row>
    <row r="400" ht="15.75" customHeight="1">
      <c r="F400" s="48"/>
    </row>
    <row r="401" ht="15.75" customHeight="1">
      <c r="F401" s="48"/>
    </row>
    <row r="402" ht="15.75" customHeight="1">
      <c r="F402" s="48"/>
    </row>
    <row r="403" ht="15.75" customHeight="1">
      <c r="F403" s="48"/>
    </row>
    <row r="404" ht="15.75" customHeight="1">
      <c r="F404" s="48"/>
    </row>
    <row r="405" ht="15.75" customHeight="1">
      <c r="F405" s="48"/>
    </row>
    <row r="406" ht="15.75" customHeight="1">
      <c r="F406" s="48"/>
    </row>
    <row r="407" ht="15.75" customHeight="1">
      <c r="F407" s="48"/>
    </row>
    <row r="408" ht="15.75" customHeight="1">
      <c r="F408" s="48"/>
    </row>
    <row r="409" ht="15.75" customHeight="1">
      <c r="F409" s="48"/>
    </row>
    <row r="410" ht="15.75" customHeight="1">
      <c r="F410" s="48"/>
    </row>
    <row r="411" ht="15.75" customHeight="1">
      <c r="F411" s="48"/>
    </row>
    <row r="412" ht="15.75" customHeight="1">
      <c r="F412" s="48"/>
    </row>
    <row r="413" ht="15.75" customHeight="1">
      <c r="F413" s="48"/>
    </row>
    <row r="414" ht="15.75" customHeight="1">
      <c r="F414" s="48"/>
    </row>
    <row r="415" ht="15.75" customHeight="1">
      <c r="F415" s="48"/>
    </row>
    <row r="416" ht="15.75" customHeight="1">
      <c r="F416" s="48"/>
    </row>
    <row r="417" ht="15.75" customHeight="1">
      <c r="F417" s="48"/>
    </row>
    <row r="418" ht="15.75" customHeight="1">
      <c r="F418" s="48"/>
    </row>
    <row r="419" ht="15.75" customHeight="1">
      <c r="F419" s="48"/>
    </row>
    <row r="420" ht="15.75" customHeight="1">
      <c r="F420" s="48"/>
    </row>
    <row r="421" ht="15.75" customHeight="1">
      <c r="F421" s="48"/>
    </row>
    <row r="422" ht="15.75" customHeight="1">
      <c r="F422" s="48"/>
    </row>
    <row r="423" ht="15.75" customHeight="1">
      <c r="F423" s="48"/>
    </row>
    <row r="424" ht="15.75" customHeight="1">
      <c r="F424" s="48"/>
    </row>
    <row r="425" ht="15.75" customHeight="1">
      <c r="F425" s="48"/>
    </row>
    <row r="426" ht="15.75" customHeight="1">
      <c r="F426" s="48"/>
    </row>
    <row r="427" ht="15.75" customHeight="1">
      <c r="F427" s="48"/>
    </row>
    <row r="428" ht="15.75" customHeight="1">
      <c r="F428" s="48"/>
    </row>
    <row r="429" ht="15.75" customHeight="1">
      <c r="F429" s="48"/>
    </row>
    <row r="430" ht="15.75" customHeight="1">
      <c r="F430" s="48"/>
    </row>
    <row r="431" ht="15.75" customHeight="1">
      <c r="F431" s="48"/>
    </row>
    <row r="432" ht="15.75" customHeight="1">
      <c r="F432" s="48"/>
    </row>
    <row r="433" ht="15.75" customHeight="1">
      <c r="F433" s="48"/>
    </row>
    <row r="434" ht="15.75" customHeight="1">
      <c r="F434" s="48"/>
    </row>
    <row r="435" ht="15.75" customHeight="1">
      <c r="F435" s="48"/>
    </row>
    <row r="436" ht="15.75" customHeight="1">
      <c r="F436" s="48"/>
    </row>
    <row r="437" ht="15.75" customHeight="1">
      <c r="F437" s="48"/>
    </row>
    <row r="438" ht="15.75" customHeight="1">
      <c r="F438" s="48"/>
    </row>
    <row r="439" ht="15.75" customHeight="1">
      <c r="F439" s="48"/>
    </row>
    <row r="440" ht="15.75" customHeight="1">
      <c r="F440" s="48"/>
    </row>
    <row r="441" ht="15.75" customHeight="1">
      <c r="F441" s="48"/>
    </row>
    <row r="442" ht="15.75" customHeight="1">
      <c r="F442" s="48"/>
    </row>
    <row r="443" ht="15.75" customHeight="1">
      <c r="F443" s="48"/>
    </row>
    <row r="444" ht="15.75" customHeight="1">
      <c r="F444" s="48"/>
    </row>
    <row r="445" ht="15.75" customHeight="1">
      <c r="F445" s="48"/>
    </row>
    <row r="446" ht="15.75" customHeight="1">
      <c r="F446" s="48"/>
    </row>
    <row r="447" ht="15.75" customHeight="1">
      <c r="F447" s="48"/>
    </row>
    <row r="448" ht="15.75" customHeight="1">
      <c r="F448" s="48"/>
    </row>
    <row r="449" ht="15.75" customHeight="1">
      <c r="F449" s="48"/>
    </row>
    <row r="450" ht="15.75" customHeight="1">
      <c r="F450" s="48"/>
    </row>
    <row r="451" ht="15.75" customHeight="1">
      <c r="F451" s="48"/>
    </row>
    <row r="452" ht="15.75" customHeight="1">
      <c r="F452" s="48"/>
    </row>
    <row r="453" ht="15.75" customHeight="1">
      <c r="F453" s="48"/>
    </row>
    <row r="454" ht="15.75" customHeight="1">
      <c r="F454" s="48"/>
    </row>
    <row r="455" ht="15.75" customHeight="1">
      <c r="F455" s="48"/>
    </row>
    <row r="456" ht="15.75" customHeight="1">
      <c r="F456" s="48"/>
    </row>
    <row r="457" ht="15.75" customHeight="1">
      <c r="F457" s="48"/>
    </row>
    <row r="458" ht="15.75" customHeight="1">
      <c r="F458" s="48"/>
    </row>
    <row r="459" ht="15.75" customHeight="1">
      <c r="F459" s="48"/>
    </row>
    <row r="460" ht="15.75" customHeight="1">
      <c r="F460" s="48"/>
    </row>
    <row r="461" ht="15.75" customHeight="1">
      <c r="F461" s="48"/>
    </row>
    <row r="462" ht="15.75" customHeight="1">
      <c r="F462" s="48"/>
    </row>
    <row r="463" ht="15.75" customHeight="1">
      <c r="F463" s="48"/>
    </row>
    <row r="464" ht="15.75" customHeight="1">
      <c r="F464" s="48"/>
    </row>
    <row r="465" ht="15.75" customHeight="1">
      <c r="F465" s="48"/>
    </row>
    <row r="466" ht="15.75" customHeight="1">
      <c r="F466" s="48"/>
    </row>
    <row r="467" ht="15.75" customHeight="1">
      <c r="F467" s="48"/>
    </row>
    <row r="468" ht="15.75" customHeight="1">
      <c r="F468" s="48"/>
    </row>
    <row r="469" ht="15.75" customHeight="1">
      <c r="F469" s="48"/>
    </row>
    <row r="470" ht="15.75" customHeight="1">
      <c r="F470" s="48"/>
    </row>
    <row r="471" ht="15.75" customHeight="1">
      <c r="F471" s="48"/>
    </row>
    <row r="472" ht="15.75" customHeight="1">
      <c r="F472" s="48"/>
    </row>
    <row r="473" ht="15.75" customHeight="1">
      <c r="F473" s="48"/>
    </row>
    <row r="474" ht="15.75" customHeight="1">
      <c r="F474" s="48"/>
    </row>
    <row r="475" ht="15.75" customHeight="1">
      <c r="F475" s="48"/>
    </row>
    <row r="476" ht="15.75" customHeight="1">
      <c r="F476" s="48"/>
    </row>
    <row r="477" ht="15.75" customHeight="1">
      <c r="F477" s="48"/>
    </row>
    <row r="478" ht="15.75" customHeight="1">
      <c r="F478" s="48"/>
    </row>
    <row r="479" ht="15.75" customHeight="1">
      <c r="F479" s="48"/>
    </row>
    <row r="480" ht="15.75" customHeight="1">
      <c r="F480" s="48"/>
    </row>
    <row r="481" ht="15.75" customHeight="1">
      <c r="F481" s="48"/>
    </row>
    <row r="482" ht="15.75" customHeight="1">
      <c r="F482" s="48"/>
    </row>
    <row r="483" ht="15.75" customHeight="1">
      <c r="F483" s="48"/>
    </row>
    <row r="484" ht="15.75" customHeight="1">
      <c r="F484" s="48"/>
    </row>
    <row r="485" ht="15.75" customHeight="1">
      <c r="F485" s="48"/>
    </row>
    <row r="486" ht="15.75" customHeight="1">
      <c r="F486" s="48"/>
    </row>
    <row r="487" ht="15.75" customHeight="1">
      <c r="F487" s="48"/>
    </row>
    <row r="488" ht="15.75" customHeight="1">
      <c r="F488" s="48"/>
    </row>
    <row r="489" ht="15.75" customHeight="1">
      <c r="F489" s="48"/>
    </row>
    <row r="490" ht="15.75" customHeight="1">
      <c r="F490" s="48"/>
    </row>
    <row r="491" ht="15.75" customHeight="1">
      <c r="F491" s="48"/>
    </row>
    <row r="492" ht="15.75" customHeight="1">
      <c r="F492" s="48"/>
    </row>
    <row r="493" ht="15.75" customHeight="1">
      <c r="F493" s="48"/>
    </row>
    <row r="494" ht="15.75" customHeight="1">
      <c r="F494" s="48"/>
    </row>
    <row r="495" ht="15.75" customHeight="1">
      <c r="F495" s="48"/>
    </row>
    <row r="496" ht="15.75" customHeight="1">
      <c r="F496" s="48"/>
    </row>
    <row r="497" ht="15.75" customHeight="1">
      <c r="F497" s="48"/>
    </row>
    <row r="498" ht="15.75" customHeight="1">
      <c r="F498" s="48"/>
    </row>
    <row r="499" ht="15.75" customHeight="1">
      <c r="F499" s="48"/>
    </row>
    <row r="500" ht="15.75" customHeight="1">
      <c r="F500" s="48"/>
    </row>
    <row r="501" ht="15.75" customHeight="1">
      <c r="F501" s="48"/>
    </row>
    <row r="502" ht="15.75" customHeight="1">
      <c r="F502" s="48"/>
    </row>
    <row r="503" ht="15.75" customHeight="1">
      <c r="F503" s="48"/>
    </row>
    <row r="504" ht="15.75" customHeight="1">
      <c r="F504" s="48"/>
    </row>
    <row r="505" ht="15.75" customHeight="1">
      <c r="F505" s="48"/>
    </row>
    <row r="506" ht="15.75" customHeight="1">
      <c r="F506" s="48"/>
    </row>
    <row r="507" ht="15.75" customHeight="1">
      <c r="F507" s="48"/>
    </row>
    <row r="508" ht="15.75" customHeight="1">
      <c r="F508" s="48"/>
    </row>
    <row r="509" ht="15.75" customHeight="1">
      <c r="F509" s="48"/>
    </row>
    <row r="510" ht="15.75" customHeight="1">
      <c r="F510" s="48"/>
    </row>
    <row r="511" ht="15.75" customHeight="1">
      <c r="F511" s="48"/>
    </row>
    <row r="512" ht="15.75" customHeight="1">
      <c r="F512" s="48"/>
    </row>
    <row r="513" ht="15.75" customHeight="1">
      <c r="F513" s="48"/>
    </row>
    <row r="514" ht="15.75" customHeight="1">
      <c r="F514" s="48"/>
    </row>
    <row r="515" ht="15.75" customHeight="1">
      <c r="F515" s="48"/>
    </row>
    <row r="516" ht="15.75" customHeight="1">
      <c r="F516" s="48"/>
    </row>
    <row r="517" ht="15.75" customHeight="1">
      <c r="F517" s="48"/>
    </row>
    <row r="518" ht="15.75" customHeight="1">
      <c r="F518" s="48"/>
    </row>
    <row r="519" ht="15.75" customHeight="1">
      <c r="F519" s="48"/>
    </row>
    <row r="520" ht="15.75" customHeight="1">
      <c r="F520" s="48"/>
    </row>
    <row r="521" ht="15.75" customHeight="1">
      <c r="F521" s="48"/>
    </row>
    <row r="522" ht="15.75" customHeight="1">
      <c r="F522" s="48"/>
    </row>
    <row r="523" ht="15.75" customHeight="1">
      <c r="F523" s="48"/>
    </row>
    <row r="524" ht="15.75" customHeight="1">
      <c r="F524" s="48"/>
    </row>
    <row r="525" ht="15.75" customHeight="1">
      <c r="F525" s="48"/>
    </row>
    <row r="526" ht="15.75" customHeight="1">
      <c r="F526" s="48"/>
    </row>
    <row r="527" ht="15.75" customHeight="1">
      <c r="F527" s="48"/>
    </row>
    <row r="528" ht="15.75" customHeight="1">
      <c r="F528" s="48"/>
    </row>
    <row r="529" ht="15.75" customHeight="1">
      <c r="F529" s="48"/>
    </row>
    <row r="530" ht="15.75" customHeight="1">
      <c r="F530" s="48"/>
    </row>
    <row r="531" ht="15.75" customHeight="1">
      <c r="F531" s="48"/>
    </row>
    <row r="532" ht="15.75" customHeight="1">
      <c r="F532" s="48"/>
    </row>
    <row r="533" ht="15.75" customHeight="1">
      <c r="F533" s="48"/>
    </row>
    <row r="534" ht="15.75" customHeight="1">
      <c r="F534" s="48"/>
    </row>
    <row r="535" ht="15.75" customHeight="1">
      <c r="F535" s="48"/>
    </row>
    <row r="536" ht="15.75" customHeight="1">
      <c r="F536" s="48"/>
    </row>
    <row r="537" ht="15.75" customHeight="1">
      <c r="F537" s="48"/>
    </row>
    <row r="538" ht="15.75" customHeight="1">
      <c r="F538" s="48"/>
    </row>
    <row r="539" ht="15.75" customHeight="1">
      <c r="F539" s="48"/>
    </row>
    <row r="540" ht="15.75" customHeight="1">
      <c r="F540" s="48"/>
    </row>
    <row r="541" ht="15.75" customHeight="1">
      <c r="F541" s="48"/>
    </row>
    <row r="542" ht="15.75" customHeight="1">
      <c r="F542" s="48"/>
    </row>
    <row r="543" ht="15.75" customHeight="1">
      <c r="F543" s="48"/>
    </row>
    <row r="544" ht="15.75" customHeight="1">
      <c r="F544" s="48"/>
    </row>
    <row r="545" ht="15.75" customHeight="1">
      <c r="F545" s="48"/>
    </row>
    <row r="546" ht="15.75" customHeight="1">
      <c r="F546" s="48"/>
    </row>
    <row r="547" ht="15.75" customHeight="1">
      <c r="F547" s="48"/>
    </row>
    <row r="548" ht="15.75" customHeight="1">
      <c r="F548" s="48"/>
    </row>
    <row r="549" ht="15.75" customHeight="1">
      <c r="F549" s="48"/>
    </row>
    <row r="550" ht="15.75" customHeight="1">
      <c r="F550" s="48"/>
    </row>
    <row r="551" ht="15.75" customHeight="1">
      <c r="F551" s="48"/>
    </row>
    <row r="552" ht="15.75" customHeight="1">
      <c r="F552" s="48"/>
    </row>
    <row r="553" ht="15.75" customHeight="1">
      <c r="F553" s="48"/>
    </row>
    <row r="554" ht="15.75" customHeight="1">
      <c r="F554" s="48"/>
    </row>
    <row r="555" ht="15.75" customHeight="1">
      <c r="F555" s="48"/>
    </row>
    <row r="556" ht="15.75" customHeight="1">
      <c r="F556" s="48"/>
    </row>
    <row r="557" ht="15.75" customHeight="1">
      <c r="F557" s="48"/>
    </row>
    <row r="558" ht="15.75" customHeight="1">
      <c r="F558" s="48"/>
    </row>
    <row r="559" ht="15.75" customHeight="1">
      <c r="F559" s="48"/>
    </row>
    <row r="560" ht="15.75" customHeight="1">
      <c r="F560" s="48"/>
    </row>
    <row r="561" ht="15.75" customHeight="1">
      <c r="F561" s="48"/>
    </row>
    <row r="562" ht="15.75" customHeight="1">
      <c r="F562" s="48"/>
    </row>
    <row r="563" ht="15.75" customHeight="1">
      <c r="F563" s="48"/>
    </row>
    <row r="564" ht="15.75" customHeight="1">
      <c r="F564" s="48"/>
    </row>
    <row r="565" ht="15.75" customHeight="1">
      <c r="F565" s="48"/>
    </row>
    <row r="566" ht="15.75" customHeight="1">
      <c r="F566" s="48"/>
    </row>
    <row r="567" ht="15.75" customHeight="1">
      <c r="F567" s="48"/>
    </row>
    <row r="568" ht="15.75" customHeight="1">
      <c r="F568" s="48"/>
    </row>
    <row r="569" ht="15.75" customHeight="1">
      <c r="F569" s="48"/>
    </row>
    <row r="570" ht="15.75" customHeight="1">
      <c r="F570" s="48"/>
    </row>
    <row r="571" ht="15.75" customHeight="1">
      <c r="F571" s="48"/>
    </row>
    <row r="572" ht="15.75" customHeight="1">
      <c r="F572" s="48"/>
    </row>
    <row r="573" ht="15.75" customHeight="1">
      <c r="F573" s="48"/>
    </row>
    <row r="574" ht="15.75" customHeight="1">
      <c r="F574" s="48"/>
    </row>
    <row r="575" ht="15.75" customHeight="1">
      <c r="F575" s="48"/>
    </row>
    <row r="576" ht="15.75" customHeight="1">
      <c r="F576" s="48"/>
    </row>
    <row r="577" ht="15.75" customHeight="1">
      <c r="F577" s="48"/>
    </row>
    <row r="578" ht="15.75" customHeight="1">
      <c r="F578" s="48"/>
    </row>
    <row r="579" ht="15.75" customHeight="1">
      <c r="F579" s="48"/>
    </row>
    <row r="580" ht="15.75" customHeight="1">
      <c r="F580" s="48"/>
    </row>
    <row r="581" ht="15.75" customHeight="1">
      <c r="F581" s="48"/>
    </row>
    <row r="582" ht="15.75" customHeight="1">
      <c r="F582" s="48"/>
    </row>
    <row r="583" ht="15.75" customHeight="1">
      <c r="F583" s="48"/>
    </row>
    <row r="584" ht="15.75" customHeight="1">
      <c r="F584" s="48"/>
    </row>
    <row r="585" ht="15.75" customHeight="1">
      <c r="F585" s="48"/>
    </row>
    <row r="586" ht="15.75" customHeight="1">
      <c r="F586" s="48"/>
    </row>
    <row r="587" ht="15.75" customHeight="1">
      <c r="F587" s="48"/>
    </row>
    <row r="588" ht="15.75" customHeight="1">
      <c r="F588" s="48"/>
    </row>
    <row r="589" ht="15.75" customHeight="1">
      <c r="F589" s="48"/>
    </row>
    <row r="590" ht="15.75" customHeight="1">
      <c r="F590" s="48"/>
    </row>
    <row r="591" ht="15.75" customHeight="1">
      <c r="F591" s="48"/>
    </row>
    <row r="592" ht="15.75" customHeight="1">
      <c r="F592" s="48"/>
    </row>
    <row r="593" ht="15.75" customHeight="1">
      <c r="F593" s="48"/>
    </row>
    <row r="594" ht="15.75" customHeight="1">
      <c r="F594" s="48"/>
    </row>
    <row r="595" ht="15.75" customHeight="1">
      <c r="F595" s="48"/>
    </row>
    <row r="596" ht="15.75" customHeight="1">
      <c r="F596" s="48"/>
    </row>
    <row r="597" ht="15.75" customHeight="1">
      <c r="F597" s="48"/>
    </row>
    <row r="598" ht="15.75" customHeight="1">
      <c r="F598" s="48"/>
    </row>
    <row r="599" ht="15.75" customHeight="1">
      <c r="F599" s="48"/>
    </row>
    <row r="600" ht="15.75" customHeight="1">
      <c r="F600" s="48"/>
    </row>
    <row r="601" ht="15.75" customHeight="1">
      <c r="F601" s="48"/>
    </row>
    <row r="602" ht="15.75" customHeight="1">
      <c r="F602" s="48"/>
    </row>
    <row r="603" ht="15.75" customHeight="1">
      <c r="F603" s="48"/>
    </row>
    <row r="604" ht="15.75" customHeight="1">
      <c r="F604" s="48"/>
    </row>
    <row r="605" ht="15.75" customHeight="1">
      <c r="F605" s="48"/>
    </row>
    <row r="606" ht="15.75" customHeight="1">
      <c r="F606" s="48"/>
    </row>
    <row r="607" ht="15.75" customHeight="1">
      <c r="F607" s="48"/>
    </row>
    <row r="608" ht="15.75" customHeight="1">
      <c r="F608" s="48"/>
    </row>
    <row r="609" ht="15.75" customHeight="1">
      <c r="F609" s="48"/>
    </row>
    <row r="610" ht="15.75" customHeight="1">
      <c r="F610" s="48"/>
    </row>
    <row r="611" ht="15.75" customHeight="1">
      <c r="F611" s="48"/>
    </row>
    <row r="612" ht="15.75" customHeight="1">
      <c r="F612" s="48"/>
    </row>
    <row r="613" ht="15.75" customHeight="1">
      <c r="F613" s="48"/>
    </row>
    <row r="614" ht="15.75" customHeight="1">
      <c r="F614" s="48"/>
    </row>
    <row r="615" ht="15.75" customHeight="1">
      <c r="F615" s="48"/>
    </row>
    <row r="616" ht="15.75" customHeight="1">
      <c r="F616" s="48"/>
    </row>
    <row r="617" ht="15.75" customHeight="1">
      <c r="F617" s="48"/>
    </row>
    <row r="618" ht="15.75" customHeight="1">
      <c r="F618" s="48"/>
    </row>
    <row r="619" ht="15.75" customHeight="1">
      <c r="F619" s="48"/>
    </row>
    <row r="620" ht="15.75" customHeight="1">
      <c r="F620" s="48"/>
    </row>
    <row r="621" ht="15.75" customHeight="1">
      <c r="F621" s="48"/>
    </row>
    <row r="622" ht="15.75" customHeight="1">
      <c r="F622" s="48"/>
    </row>
    <row r="623" ht="15.75" customHeight="1">
      <c r="F623" s="48"/>
    </row>
    <row r="624" ht="15.75" customHeight="1">
      <c r="F624" s="48"/>
    </row>
    <row r="625" ht="15.75" customHeight="1">
      <c r="F625" s="48"/>
    </row>
    <row r="626" ht="15.75" customHeight="1">
      <c r="F626" s="48"/>
    </row>
    <row r="627" ht="15.75" customHeight="1">
      <c r="F627" s="48"/>
    </row>
    <row r="628" ht="15.75" customHeight="1">
      <c r="F628" s="48"/>
    </row>
    <row r="629" ht="15.75" customHeight="1">
      <c r="F629" s="48"/>
    </row>
    <row r="630" ht="15.75" customHeight="1">
      <c r="F630" s="48"/>
    </row>
    <row r="631" ht="15.75" customHeight="1">
      <c r="F631" s="48"/>
    </row>
    <row r="632" ht="15.75" customHeight="1">
      <c r="F632" s="48"/>
    </row>
    <row r="633" ht="15.75" customHeight="1">
      <c r="F633" s="48"/>
    </row>
    <row r="634" ht="15.75" customHeight="1">
      <c r="F634" s="48"/>
    </row>
    <row r="635" ht="15.75" customHeight="1">
      <c r="F635" s="48"/>
    </row>
    <row r="636" ht="15.75" customHeight="1">
      <c r="F636" s="48"/>
    </row>
    <row r="637" ht="15.75" customHeight="1">
      <c r="F637" s="48"/>
    </row>
    <row r="638" ht="15.75" customHeight="1">
      <c r="F638" s="48"/>
    </row>
    <row r="639" ht="15.75" customHeight="1">
      <c r="F639" s="48"/>
    </row>
    <row r="640" ht="15.75" customHeight="1">
      <c r="F640" s="48"/>
    </row>
    <row r="641" ht="15.75" customHeight="1">
      <c r="F641" s="48"/>
    </row>
    <row r="642" ht="15.75" customHeight="1">
      <c r="F642" s="48"/>
    </row>
    <row r="643" ht="15.75" customHeight="1">
      <c r="F643" s="48"/>
    </row>
    <row r="644" ht="15.75" customHeight="1">
      <c r="F644" s="48"/>
    </row>
    <row r="645" ht="15.75" customHeight="1">
      <c r="F645" s="48"/>
    </row>
    <row r="646" ht="15.75" customHeight="1">
      <c r="F646" s="48"/>
    </row>
    <row r="647" ht="15.75" customHeight="1">
      <c r="F647" s="48"/>
    </row>
    <row r="648" ht="15.75" customHeight="1">
      <c r="F648" s="48"/>
    </row>
    <row r="649" ht="15.75" customHeight="1">
      <c r="F649" s="48"/>
    </row>
    <row r="650" ht="15.75" customHeight="1">
      <c r="F650" s="48"/>
    </row>
    <row r="651" ht="15.75" customHeight="1">
      <c r="F651" s="48"/>
    </row>
    <row r="652" ht="15.75" customHeight="1">
      <c r="F652" s="48"/>
    </row>
    <row r="653" ht="15.75" customHeight="1">
      <c r="F653" s="48"/>
    </row>
    <row r="654" ht="15.75" customHeight="1">
      <c r="F654" s="48"/>
    </row>
    <row r="655" ht="15.75" customHeight="1">
      <c r="F655" s="48"/>
    </row>
    <row r="656" ht="15.75" customHeight="1">
      <c r="F656" s="48"/>
    </row>
    <row r="657" ht="15.75" customHeight="1">
      <c r="F657" s="48"/>
    </row>
    <row r="658" ht="15.75" customHeight="1">
      <c r="F658" s="48"/>
    </row>
    <row r="659" ht="15.75" customHeight="1">
      <c r="F659" s="48"/>
    </row>
    <row r="660" ht="15.75" customHeight="1">
      <c r="F660" s="48"/>
    </row>
    <row r="661" ht="15.75" customHeight="1">
      <c r="F661" s="48"/>
    </row>
    <row r="662" ht="15.75" customHeight="1">
      <c r="F662" s="48"/>
    </row>
    <row r="663" ht="15.75" customHeight="1">
      <c r="F663" s="48"/>
    </row>
    <row r="664" ht="15.75" customHeight="1">
      <c r="F664" s="48"/>
    </row>
    <row r="665" ht="15.75" customHeight="1">
      <c r="F665" s="48"/>
    </row>
    <row r="666" ht="15.75" customHeight="1">
      <c r="F666" s="48"/>
    </row>
    <row r="667" ht="15.75" customHeight="1">
      <c r="F667" s="48"/>
    </row>
    <row r="668" ht="15.75" customHeight="1">
      <c r="F668" s="48"/>
    </row>
    <row r="669" ht="15.75" customHeight="1">
      <c r="F669" s="48"/>
    </row>
    <row r="670" ht="15.75" customHeight="1">
      <c r="F670" s="48"/>
    </row>
    <row r="671" ht="15.75" customHeight="1">
      <c r="F671" s="48"/>
    </row>
    <row r="672" ht="15.75" customHeight="1">
      <c r="F672" s="48"/>
    </row>
    <row r="673" ht="15.75" customHeight="1">
      <c r="F673" s="48"/>
    </row>
    <row r="674" ht="15.75" customHeight="1">
      <c r="F674" s="48"/>
    </row>
    <row r="675" ht="15.75" customHeight="1">
      <c r="F675" s="48"/>
    </row>
    <row r="676" ht="15.75" customHeight="1">
      <c r="F676" s="48"/>
    </row>
    <row r="677" ht="15.75" customHeight="1">
      <c r="F677" s="48"/>
    </row>
    <row r="678" ht="15.75" customHeight="1">
      <c r="F678" s="48"/>
    </row>
    <row r="679" ht="15.75" customHeight="1">
      <c r="F679" s="48"/>
    </row>
    <row r="680" ht="15.75" customHeight="1">
      <c r="F680" s="48"/>
    </row>
    <row r="681" ht="15.75" customHeight="1">
      <c r="F681" s="48"/>
    </row>
    <row r="682" ht="15.75" customHeight="1">
      <c r="F682" s="48"/>
    </row>
    <row r="683" ht="15.75" customHeight="1">
      <c r="F683" s="48"/>
    </row>
    <row r="684" ht="15.75" customHeight="1">
      <c r="F684" s="48"/>
    </row>
    <row r="685" ht="15.75" customHeight="1">
      <c r="F685" s="48"/>
    </row>
    <row r="686" ht="15.75" customHeight="1">
      <c r="F686" s="48"/>
    </row>
    <row r="687" ht="15.75" customHeight="1">
      <c r="F687" s="48"/>
    </row>
    <row r="688" ht="15.75" customHeight="1">
      <c r="F688" s="48"/>
    </row>
    <row r="689" ht="15.75" customHeight="1">
      <c r="F689" s="48"/>
    </row>
    <row r="690" ht="15.75" customHeight="1">
      <c r="F690" s="48"/>
    </row>
    <row r="691" ht="15.75" customHeight="1">
      <c r="F691" s="48"/>
    </row>
    <row r="692" ht="15.75" customHeight="1">
      <c r="F692" s="48"/>
    </row>
    <row r="693" ht="15.75" customHeight="1">
      <c r="F693" s="48"/>
    </row>
    <row r="694" ht="15.75" customHeight="1">
      <c r="F694" s="48"/>
    </row>
    <row r="695" ht="15.75" customHeight="1">
      <c r="F695" s="48"/>
    </row>
    <row r="696" ht="15.75" customHeight="1">
      <c r="F696" s="48"/>
    </row>
    <row r="697" ht="15.75" customHeight="1">
      <c r="F697" s="48"/>
    </row>
    <row r="698" ht="15.75" customHeight="1">
      <c r="F698" s="48"/>
    </row>
    <row r="699" ht="15.75" customHeight="1">
      <c r="F699" s="48"/>
    </row>
    <row r="700" ht="15.75" customHeight="1">
      <c r="F700" s="48"/>
    </row>
    <row r="701" ht="15.75" customHeight="1">
      <c r="F701" s="48"/>
    </row>
    <row r="702" ht="15.75" customHeight="1">
      <c r="F702" s="48"/>
    </row>
    <row r="703" ht="15.75" customHeight="1">
      <c r="F703" s="48"/>
    </row>
    <row r="704" ht="15.75" customHeight="1">
      <c r="F704" s="48"/>
    </row>
    <row r="705" ht="15.75" customHeight="1">
      <c r="F705" s="48"/>
    </row>
    <row r="706" ht="15.75" customHeight="1">
      <c r="F706" s="48"/>
    </row>
    <row r="707" ht="15.75" customHeight="1">
      <c r="F707" s="48"/>
    </row>
    <row r="708" ht="15.75" customHeight="1">
      <c r="F708" s="48"/>
    </row>
    <row r="709" ht="15.75" customHeight="1">
      <c r="F709" s="48"/>
    </row>
    <row r="710" ht="15.75" customHeight="1">
      <c r="F710" s="48"/>
    </row>
    <row r="711" ht="15.75" customHeight="1">
      <c r="F711" s="48"/>
    </row>
    <row r="712" ht="15.75" customHeight="1">
      <c r="F712" s="48"/>
    </row>
    <row r="713" ht="15.75" customHeight="1">
      <c r="F713" s="48"/>
    </row>
    <row r="714" ht="15.75" customHeight="1">
      <c r="F714" s="48"/>
    </row>
    <row r="715" ht="15.75" customHeight="1">
      <c r="F715" s="48"/>
    </row>
    <row r="716" ht="15.75" customHeight="1">
      <c r="F716" s="48"/>
    </row>
    <row r="717" ht="15.75" customHeight="1">
      <c r="F717" s="48"/>
    </row>
    <row r="718" ht="15.75" customHeight="1">
      <c r="F718" s="48"/>
    </row>
    <row r="719" ht="15.75" customHeight="1">
      <c r="F719" s="48"/>
    </row>
    <row r="720" ht="15.75" customHeight="1">
      <c r="F720" s="48"/>
    </row>
    <row r="721" ht="15.75" customHeight="1">
      <c r="F721" s="48"/>
    </row>
    <row r="722" ht="15.75" customHeight="1">
      <c r="F722" s="48"/>
    </row>
    <row r="723" ht="15.75" customHeight="1">
      <c r="F723" s="48"/>
    </row>
    <row r="724" ht="15.75" customHeight="1">
      <c r="F724" s="48"/>
    </row>
    <row r="725" ht="15.75" customHeight="1">
      <c r="F725" s="48"/>
    </row>
    <row r="726" ht="15.75" customHeight="1">
      <c r="F726" s="48"/>
    </row>
    <row r="727" ht="15.75" customHeight="1">
      <c r="F727" s="48"/>
    </row>
    <row r="728" ht="15.75" customHeight="1">
      <c r="F728" s="48"/>
    </row>
    <row r="729" ht="15.75" customHeight="1">
      <c r="F729" s="48"/>
    </row>
    <row r="730" ht="15.75" customHeight="1">
      <c r="F730" s="48"/>
    </row>
    <row r="731" ht="15.75" customHeight="1">
      <c r="F731" s="48"/>
    </row>
    <row r="732" ht="15.75" customHeight="1">
      <c r="F732" s="48"/>
    </row>
    <row r="733" ht="15.75" customHeight="1">
      <c r="F733" s="48"/>
    </row>
    <row r="734" ht="15.75" customHeight="1">
      <c r="F734" s="48"/>
    </row>
    <row r="735" ht="15.75" customHeight="1">
      <c r="F735" s="48"/>
    </row>
    <row r="736" ht="15.75" customHeight="1">
      <c r="F736" s="48"/>
    </row>
    <row r="737" ht="15.75" customHeight="1">
      <c r="F737" s="48"/>
    </row>
    <row r="738" ht="15.75" customHeight="1">
      <c r="F738" s="48"/>
    </row>
    <row r="739" ht="15.75" customHeight="1">
      <c r="F739" s="48"/>
    </row>
    <row r="740" ht="15.75" customHeight="1">
      <c r="F740" s="48"/>
    </row>
    <row r="741" ht="15.75" customHeight="1">
      <c r="F741" s="48"/>
    </row>
    <row r="742" ht="15.75" customHeight="1">
      <c r="F742" s="48"/>
    </row>
    <row r="743" ht="15.75" customHeight="1">
      <c r="F743" s="48"/>
    </row>
    <row r="744" ht="15.75" customHeight="1">
      <c r="F744" s="48"/>
    </row>
    <row r="745" ht="15.75" customHeight="1">
      <c r="F745" s="48"/>
    </row>
    <row r="746" ht="15.75" customHeight="1">
      <c r="F746" s="48"/>
    </row>
    <row r="747" ht="15.75" customHeight="1">
      <c r="F747" s="48"/>
    </row>
    <row r="748" ht="15.75" customHeight="1">
      <c r="F748" s="48"/>
    </row>
    <row r="749" ht="15.75" customHeight="1">
      <c r="F749" s="48"/>
    </row>
    <row r="750" ht="15.75" customHeight="1">
      <c r="F750" s="48"/>
    </row>
    <row r="751" ht="15.75" customHeight="1">
      <c r="F751" s="48"/>
    </row>
    <row r="752" ht="15.75" customHeight="1">
      <c r="F752" s="48"/>
    </row>
    <row r="753" ht="15.75" customHeight="1">
      <c r="F753" s="48"/>
    </row>
    <row r="754" ht="15.75" customHeight="1">
      <c r="F754" s="48"/>
    </row>
    <row r="755" ht="15.75" customHeight="1">
      <c r="F755" s="48"/>
    </row>
    <row r="756" ht="15.75" customHeight="1">
      <c r="F756" s="48"/>
    </row>
    <row r="757" ht="15.75" customHeight="1">
      <c r="F757" s="48"/>
    </row>
    <row r="758" ht="15.75" customHeight="1">
      <c r="F758" s="48"/>
    </row>
    <row r="759" ht="15.75" customHeight="1">
      <c r="F759" s="48"/>
    </row>
    <row r="760" ht="15.75" customHeight="1">
      <c r="F760" s="48"/>
    </row>
    <row r="761" ht="15.75" customHeight="1">
      <c r="F761" s="48"/>
    </row>
    <row r="762" ht="15.75" customHeight="1">
      <c r="F762" s="48"/>
    </row>
    <row r="763" ht="15.75" customHeight="1">
      <c r="F763" s="48"/>
    </row>
    <row r="764" ht="15.75" customHeight="1">
      <c r="F764" s="48"/>
    </row>
    <row r="765" ht="15.75" customHeight="1">
      <c r="F765" s="48"/>
    </row>
    <row r="766" ht="15.75" customHeight="1">
      <c r="F766" s="48"/>
    </row>
    <row r="767" ht="15.75" customHeight="1">
      <c r="F767" s="48"/>
    </row>
    <row r="768" ht="15.75" customHeight="1">
      <c r="F768" s="48"/>
    </row>
    <row r="769" ht="15.75" customHeight="1">
      <c r="F769" s="48"/>
    </row>
    <row r="770" ht="15.75" customHeight="1">
      <c r="F770" s="48"/>
    </row>
    <row r="771" ht="15.75" customHeight="1">
      <c r="F771" s="48"/>
    </row>
    <row r="772" ht="15.75" customHeight="1">
      <c r="F772" s="48"/>
    </row>
    <row r="773" ht="15.75" customHeight="1">
      <c r="F773" s="48"/>
    </row>
    <row r="774" ht="15.75" customHeight="1">
      <c r="F774" s="48"/>
    </row>
    <row r="775" ht="15.75" customHeight="1">
      <c r="F775" s="48"/>
    </row>
    <row r="776" ht="15.75" customHeight="1">
      <c r="F776" s="48"/>
    </row>
    <row r="777" ht="15.75" customHeight="1">
      <c r="F777" s="48"/>
    </row>
    <row r="778" ht="15.75" customHeight="1">
      <c r="F778" s="48"/>
    </row>
    <row r="779" ht="15.75" customHeight="1">
      <c r="F779" s="48"/>
    </row>
    <row r="780" ht="15.75" customHeight="1">
      <c r="F780" s="48"/>
    </row>
    <row r="781" ht="15.75" customHeight="1">
      <c r="F781" s="48"/>
    </row>
    <row r="782" ht="15.75" customHeight="1">
      <c r="F782" s="48"/>
    </row>
    <row r="783" ht="15.75" customHeight="1">
      <c r="F783" s="48"/>
    </row>
    <row r="784" ht="15.75" customHeight="1">
      <c r="F784" s="48"/>
    </row>
    <row r="785" ht="15.75" customHeight="1">
      <c r="F785" s="48"/>
    </row>
    <row r="786" ht="15.75" customHeight="1">
      <c r="F786" s="48"/>
    </row>
    <row r="787" ht="15.75" customHeight="1">
      <c r="F787" s="48"/>
    </row>
    <row r="788" ht="15.75" customHeight="1">
      <c r="F788" s="48"/>
    </row>
    <row r="789" ht="15.75" customHeight="1">
      <c r="F789" s="48"/>
    </row>
    <row r="790" ht="15.75" customHeight="1">
      <c r="F790" s="48"/>
    </row>
    <row r="791" ht="15.75" customHeight="1">
      <c r="F791" s="48"/>
    </row>
    <row r="792" ht="15.75" customHeight="1">
      <c r="F792" s="48"/>
    </row>
    <row r="793" ht="15.75" customHeight="1">
      <c r="F793" s="48"/>
    </row>
    <row r="794" ht="15.75" customHeight="1">
      <c r="F794" s="48"/>
    </row>
    <row r="795" ht="15.75" customHeight="1">
      <c r="F795" s="48"/>
    </row>
    <row r="796" ht="15.75" customHeight="1">
      <c r="F796" s="48"/>
    </row>
    <row r="797" ht="15.75" customHeight="1">
      <c r="F797" s="48"/>
    </row>
    <row r="798" ht="15.75" customHeight="1">
      <c r="F798" s="48"/>
    </row>
    <row r="799" ht="15.75" customHeight="1">
      <c r="F799" s="48"/>
    </row>
    <row r="800" ht="15.75" customHeight="1">
      <c r="F800" s="48"/>
    </row>
    <row r="801" ht="15.75" customHeight="1">
      <c r="F801" s="48"/>
    </row>
    <row r="802" ht="15.75" customHeight="1">
      <c r="F802" s="48"/>
    </row>
    <row r="803" ht="15.75" customHeight="1">
      <c r="F803" s="48"/>
    </row>
    <row r="804" ht="15.75" customHeight="1">
      <c r="F804" s="48"/>
    </row>
    <row r="805" ht="15.75" customHeight="1">
      <c r="F805" s="48"/>
    </row>
    <row r="806" ht="15.75" customHeight="1">
      <c r="F806" s="48"/>
    </row>
    <row r="807" ht="15.75" customHeight="1">
      <c r="F807" s="48"/>
    </row>
    <row r="808" ht="15.75" customHeight="1">
      <c r="F808" s="48"/>
    </row>
    <row r="809" ht="15.75" customHeight="1">
      <c r="F809" s="48"/>
    </row>
    <row r="810" ht="15.75" customHeight="1">
      <c r="F810" s="48"/>
    </row>
    <row r="811" ht="15.75" customHeight="1">
      <c r="F811" s="48"/>
    </row>
    <row r="812" ht="15.75" customHeight="1">
      <c r="F812" s="48"/>
    </row>
    <row r="813" ht="15.75" customHeight="1">
      <c r="F813" s="48"/>
    </row>
    <row r="814" ht="15.75" customHeight="1">
      <c r="F814" s="48"/>
    </row>
    <row r="815" ht="15.75" customHeight="1">
      <c r="F815" s="48"/>
    </row>
    <row r="816" ht="15.75" customHeight="1">
      <c r="F816" s="48"/>
    </row>
    <row r="817" ht="15.75" customHeight="1">
      <c r="F817" s="48"/>
    </row>
    <row r="818" ht="15.75" customHeight="1">
      <c r="F818" s="48"/>
    </row>
    <row r="819" ht="15.75" customHeight="1">
      <c r="F819" s="48"/>
    </row>
    <row r="820" ht="15.75" customHeight="1">
      <c r="F820" s="48"/>
    </row>
    <row r="821" ht="15.75" customHeight="1">
      <c r="F821" s="48"/>
    </row>
    <row r="822" ht="15.75" customHeight="1">
      <c r="F822" s="48"/>
    </row>
    <row r="823" ht="15.75" customHeight="1">
      <c r="F823" s="48"/>
    </row>
    <row r="824" ht="15.75" customHeight="1">
      <c r="F824" s="48"/>
    </row>
    <row r="825" ht="15.75" customHeight="1">
      <c r="F825" s="48"/>
    </row>
    <row r="826" ht="15.75" customHeight="1">
      <c r="F826" s="48"/>
    </row>
    <row r="827" ht="15.75" customHeight="1">
      <c r="F827" s="48"/>
    </row>
    <row r="828" ht="15.75" customHeight="1">
      <c r="F828" s="48"/>
    </row>
    <row r="829" ht="15.75" customHeight="1">
      <c r="F829" s="48"/>
    </row>
    <row r="830" ht="15.75" customHeight="1">
      <c r="F830" s="48"/>
    </row>
    <row r="831" ht="15.75" customHeight="1">
      <c r="F831" s="48"/>
    </row>
    <row r="832" ht="15.75" customHeight="1">
      <c r="F832" s="48"/>
    </row>
    <row r="833" ht="15.75" customHeight="1">
      <c r="F833" s="48"/>
    </row>
    <row r="834" ht="15.75" customHeight="1">
      <c r="F834" s="48"/>
    </row>
    <row r="835" ht="15.75" customHeight="1">
      <c r="F835" s="48"/>
    </row>
    <row r="836" ht="15.75" customHeight="1">
      <c r="F836" s="48"/>
    </row>
    <row r="837" ht="15.75" customHeight="1">
      <c r="F837" s="48"/>
    </row>
    <row r="838" ht="15.75" customHeight="1">
      <c r="F838" s="48"/>
    </row>
    <row r="839" ht="15.75" customHeight="1">
      <c r="F839" s="48"/>
    </row>
    <row r="840" ht="15.75" customHeight="1">
      <c r="F840" s="48"/>
    </row>
    <row r="841" ht="15.75" customHeight="1">
      <c r="F841" s="48"/>
    </row>
    <row r="842" ht="15.75" customHeight="1">
      <c r="F842" s="48"/>
    </row>
    <row r="843" ht="15.75" customHeight="1">
      <c r="F843" s="48"/>
    </row>
    <row r="844" ht="15.75" customHeight="1">
      <c r="F844" s="48"/>
    </row>
    <row r="845" ht="15.75" customHeight="1">
      <c r="F845" s="48"/>
    </row>
    <row r="846" ht="15.75" customHeight="1">
      <c r="F846" s="48"/>
    </row>
    <row r="847" ht="15.75" customHeight="1">
      <c r="F847" s="48"/>
    </row>
    <row r="848" ht="15.75" customHeight="1">
      <c r="F848" s="48"/>
    </row>
    <row r="849" ht="15.75" customHeight="1">
      <c r="F849" s="48"/>
    </row>
    <row r="850" ht="15.75" customHeight="1">
      <c r="F850" s="48"/>
    </row>
    <row r="851" ht="15.75" customHeight="1">
      <c r="F851" s="48"/>
    </row>
    <row r="852" ht="15.75" customHeight="1">
      <c r="F852" s="48"/>
    </row>
    <row r="853" ht="15.75" customHeight="1">
      <c r="F853" s="48"/>
    </row>
    <row r="854" ht="15.75" customHeight="1">
      <c r="F854" s="48"/>
    </row>
    <row r="855" ht="15.75" customHeight="1">
      <c r="F855" s="48"/>
    </row>
    <row r="856" ht="15.75" customHeight="1">
      <c r="F856" s="48"/>
    </row>
    <row r="857" ht="15.75" customHeight="1">
      <c r="F857" s="48"/>
    </row>
    <row r="858" ht="15.75" customHeight="1">
      <c r="F858" s="48"/>
    </row>
    <row r="859" ht="15.75" customHeight="1">
      <c r="F859" s="48"/>
    </row>
    <row r="860" ht="15.75" customHeight="1">
      <c r="F860" s="48"/>
    </row>
    <row r="861" ht="15.75" customHeight="1">
      <c r="F861" s="48"/>
    </row>
    <row r="862" ht="15.75" customHeight="1">
      <c r="F862" s="48"/>
    </row>
    <row r="863" ht="15.75" customHeight="1">
      <c r="F863" s="48"/>
    </row>
    <row r="864" ht="15.75" customHeight="1">
      <c r="F864" s="48"/>
    </row>
    <row r="865" ht="15.75" customHeight="1">
      <c r="F865" s="48"/>
    </row>
    <row r="866" ht="15.75" customHeight="1">
      <c r="F866" s="48"/>
    </row>
    <row r="867" ht="15.75" customHeight="1">
      <c r="F867" s="48"/>
    </row>
    <row r="868" ht="15.75" customHeight="1">
      <c r="F868" s="48"/>
    </row>
    <row r="869" ht="15.75" customHeight="1">
      <c r="F869" s="48"/>
    </row>
    <row r="870" ht="15.75" customHeight="1">
      <c r="F870" s="48"/>
    </row>
    <row r="871" ht="15.75" customHeight="1">
      <c r="F871" s="48"/>
    </row>
    <row r="872" ht="15.75" customHeight="1">
      <c r="F872" s="48"/>
    </row>
    <row r="873" ht="15.75" customHeight="1">
      <c r="F873" s="48"/>
    </row>
    <row r="874" ht="15.75" customHeight="1">
      <c r="F874" s="48"/>
    </row>
    <row r="875" ht="15.75" customHeight="1">
      <c r="F875" s="48"/>
    </row>
    <row r="876" ht="15.75" customHeight="1">
      <c r="F876" s="48"/>
    </row>
    <row r="877" ht="15.75" customHeight="1">
      <c r="F877" s="48"/>
    </row>
    <row r="878" ht="15.75" customHeight="1">
      <c r="F878" s="48"/>
    </row>
    <row r="879" ht="15.75" customHeight="1">
      <c r="F879" s="48"/>
    </row>
    <row r="880" ht="15.75" customHeight="1">
      <c r="F880" s="48"/>
    </row>
    <row r="881" ht="15.75" customHeight="1">
      <c r="F881" s="48"/>
    </row>
    <row r="882" ht="15.75" customHeight="1">
      <c r="F882" s="48"/>
    </row>
    <row r="883" ht="15.75" customHeight="1">
      <c r="F883" s="48"/>
    </row>
    <row r="884" ht="15.75" customHeight="1">
      <c r="F884" s="48"/>
    </row>
    <row r="885" ht="15.75" customHeight="1">
      <c r="F885" s="48"/>
    </row>
    <row r="886" ht="15.75" customHeight="1">
      <c r="F886" s="48"/>
    </row>
    <row r="887" ht="15.75" customHeight="1">
      <c r="F887" s="48"/>
    </row>
    <row r="888" ht="15.75" customHeight="1">
      <c r="F888" s="48"/>
    </row>
    <row r="889" ht="15.75" customHeight="1">
      <c r="F889" s="48"/>
    </row>
    <row r="890" ht="15.75" customHeight="1">
      <c r="F890" s="48"/>
    </row>
    <row r="891" ht="15.75" customHeight="1">
      <c r="F891" s="48"/>
    </row>
    <row r="892" ht="15.75" customHeight="1">
      <c r="F892" s="48"/>
    </row>
    <row r="893" ht="15.75" customHeight="1">
      <c r="F893" s="48"/>
    </row>
    <row r="894" ht="15.75" customHeight="1">
      <c r="F894" s="48"/>
    </row>
    <row r="895" ht="15.75" customHeight="1">
      <c r="F895" s="48"/>
    </row>
    <row r="896" ht="15.75" customHeight="1">
      <c r="F896" s="48"/>
    </row>
    <row r="897" ht="15.75" customHeight="1">
      <c r="F897" s="48"/>
    </row>
    <row r="898" ht="15.75" customHeight="1">
      <c r="F898" s="48"/>
    </row>
    <row r="899" ht="15.75" customHeight="1">
      <c r="F899" s="48"/>
    </row>
    <row r="900" ht="15.75" customHeight="1">
      <c r="F900" s="48"/>
    </row>
    <row r="901" ht="15.75" customHeight="1">
      <c r="F901" s="48"/>
    </row>
    <row r="902" ht="15.75" customHeight="1">
      <c r="F902" s="48"/>
    </row>
    <row r="903" ht="15.75" customHeight="1">
      <c r="F903" s="48"/>
    </row>
    <row r="904" ht="15.75" customHeight="1">
      <c r="F904" s="48"/>
    </row>
    <row r="905" ht="15.75" customHeight="1">
      <c r="F905" s="48"/>
    </row>
    <row r="906" ht="15.75" customHeight="1">
      <c r="F906" s="48"/>
    </row>
    <row r="907" ht="15.75" customHeight="1">
      <c r="F907" s="48"/>
    </row>
    <row r="908" ht="15.75" customHeight="1">
      <c r="F908" s="48"/>
    </row>
    <row r="909" ht="15.75" customHeight="1">
      <c r="F909" s="48"/>
    </row>
    <row r="910" ht="15.75" customHeight="1">
      <c r="F910" s="48"/>
    </row>
    <row r="911" ht="15.75" customHeight="1">
      <c r="F911" s="48"/>
    </row>
    <row r="912" ht="15.75" customHeight="1">
      <c r="F912" s="48"/>
    </row>
    <row r="913" ht="15.75" customHeight="1">
      <c r="F913" s="48"/>
    </row>
    <row r="914" ht="15.75" customHeight="1">
      <c r="F914" s="48"/>
    </row>
    <row r="915" ht="15.75" customHeight="1">
      <c r="F915" s="48"/>
    </row>
    <row r="916" ht="15.75" customHeight="1">
      <c r="F916" s="48"/>
    </row>
    <row r="917" ht="15.75" customHeight="1">
      <c r="F917" s="48"/>
    </row>
    <row r="918" ht="15.75" customHeight="1">
      <c r="F918" s="48"/>
    </row>
    <row r="919" ht="15.75" customHeight="1">
      <c r="F919" s="48"/>
    </row>
    <row r="920" ht="15.75" customHeight="1">
      <c r="F920" s="48"/>
    </row>
    <row r="921" ht="15.75" customHeight="1">
      <c r="F921" s="48"/>
    </row>
    <row r="922" ht="15.75" customHeight="1">
      <c r="F922" s="48"/>
    </row>
    <row r="923" ht="15.75" customHeight="1">
      <c r="F923" s="48"/>
    </row>
    <row r="924" ht="15.75" customHeight="1">
      <c r="F924" s="48"/>
    </row>
    <row r="925" ht="15.75" customHeight="1">
      <c r="F925" s="48"/>
    </row>
    <row r="926" ht="15.75" customHeight="1">
      <c r="F926" s="48"/>
    </row>
    <row r="927" ht="15.75" customHeight="1">
      <c r="F927" s="48"/>
    </row>
    <row r="928" ht="15.75" customHeight="1">
      <c r="F928" s="48"/>
    </row>
    <row r="929" ht="15.75" customHeight="1">
      <c r="F929" s="48"/>
    </row>
    <row r="930" ht="15.75" customHeight="1">
      <c r="F930" s="48"/>
    </row>
    <row r="931" ht="15.75" customHeight="1">
      <c r="F931" s="48"/>
    </row>
    <row r="932" ht="15.75" customHeight="1">
      <c r="F932" s="48"/>
    </row>
    <row r="933" ht="15.75" customHeight="1">
      <c r="F933" s="48"/>
    </row>
    <row r="934" ht="15.75" customHeight="1">
      <c r="F934" s="48"/>
    </row>
    <row r="935" ht="15.75" customHeight="1">
      <c r="F935" s="48"/>
    </row>
    <row r="936" ht="15.75" customHeight="1">
      <c r="F936" s="48"/>
    </row>
    <row r="937" ht="15.75" customHeight="1">
      <c r="F937" s="48"/>
    </row>
    <row r="938" ht="15.75" customHeight="1">
      <c r="F938" s="48"/>
    </row>
    <row r="939" ht="15.75" customHeight="1">
      <c r="F939" s="48"/>
    </row>
    <row r="940" ht="15.75" customHeight="1">
      <c r="F940" s="48"/>
    </row>
    <row r="941" ht="15.75" customHeight="1">
      <c r="F941" s="48"/>
    </row>
    <row r="942" ht="15.75" customHeight="1">
      <c r="F942" s="48"/>
    </row>
    <row r="943" ht="15.75" customHeight="1">
      <c r="F943" s="48"/>
    </row>
    <row r="944" ht="15.75" customHeight="1">
      <c r="F944" s="48"/>
    </row>
    <row r="945" ht="15.75" customHeight="1">
      <c r="F945" s="48"/>
    </row>
    <row r="946" ht="15.75" customHeight="1">
      <c r="F946" s="48"/>
    </row>
    <row r="947" ht="15.75" customHeight="1">
      <c r="F947" s="48"/>
    </row>
    <row r="948" ht="15.75" customHeight="1">
      <c r="F948" s="48"/>
    </row>
    <row r="949" ht="15.75" customHeight="1">
      <c r="F949" s="48"/>
    </row>
    <row r="950" ht="15.75" customHeight="1">
      <c r="F950" s="48"/>
    </row>
    <row r="951" ht="15.75" customHeight="1">
      <c r="F951" s="48"/>
    </row>
    <row r="952" ht="15.75" customHeight="1">
      <c r="F952" s="48"/>
    </row>
    <row r="953" ht="15.75" customHeight="1">
      <c r="F953" s="48"/>
    </row>
    <row r="954" ht="15.75" customHeight="1">
      <c r="F954" s="48"/>
    </row>
    <row r="955" ht="15.75" customHeight="1">
      <c r="F955" s="48"/>
    </row>
    <row r="956" ht="15.75" customHeight="1">
      <c r="F956" s="48"/>
    </row>
    <row r="957" ht="15.75" customHeight="1">
      <c r="F957" s="48"/>
    </row>
    <row r="958" ht="15.75" customHeight="1">
      <c r="F958" s="48"/>
    </row>
    <row r="959" ht="15.75" customHeight="1">
      <c r="F959" s="48"/>
    </row>
    <row r="960" ht="15.75" customHeight="1">
      <c r="F960" s="48"/>
    </row>
    <row r="961" ht="15.75" customHeight="1">
      <c r="F961" s="48"/>
    </row>
    <row r="962" ht="15.75" customHeight="1">
      <c r="F962" s="48"/>
    </row>
    <row r="963" ht="15.75" customHeight="1">
      <c r="F963" s="48"/>
    </row>
    <row r="964" ht="15.75" customHeight="1">
      <c r="F964" s="48"/>
    </row>
    <row r="965" ht="15.75" customHeight="1">
      <c r="F965" s="48"/>
    </row>
    <row r="966" ht="15.75" customHeight="1">
      <c r="F966" s="48"/>
    </row>
    <row r="967" ht="15.75" customHeight="1">
      <c r="F967" s="48"/>
    </row>
    <row r="968" ht="15.75" customHeight="1">
      <c r="F968" s="48"/>
    </row>
    <row r="969" ht="15.75" customHeight="1">
      <c r="F969" s="48"/>
    </row>
    <row r="970" ht="15.75" customHeight="1">
      <c r="F970" s="48"/>
    </row>
    <row r="971" ht="15.75" customHeight="1">
      <c r="F971" s="48"/>
    </row>
    <row r="972" ht="15.75" customHeight="1">
      <c r="F972" s="48"/>
    </row>
    <row r="973" ht="15.75" customHeight="1">
      <c r="F973" s="48"/>
    </row>
    <row r="974" ht="15.75" customHeight="1">
      <c r="F974" s="48"/>
    </row>
    <row r="975" ht="15.75" customHeight="1">
      <c r="F975" s="48"/>
    </row>
    <row r="976" ht="15.75" customHeight="1">
      <c r="F976" s="48"/>
    </row>
    <row r="977" ht="15.75" customHeight="1">
      <c r="F977" s="48"/>
    </row>
    <row r="978" ht="15.75" customHeight="1">
      <c r="F978" s="48"/>
    </row>
    <row r="979" ht="15.75" customHeight="1">
      <c r="F979" s="48"/>
    </row>
    <row r="980" ht="15.75" customHeight="1">
      <c r="F980" s="48"/>
    </row>
    <row r="981" ht="15.75" customHeight="1">
      <c r="F981" s="48"/>
    </row>
    <row r="982" ht="15.75" customHeight="1">
      <c r="F982" s="48"/>
    </row>
    <row r="983" ht="15.75" customHeight="1">
      <c r="F983" s="48"/>
    </row>
    <row r="984" ht="15.75" customHeight="1">
      <c r="F984" s="48"/>
    </row>
    <row r="985" ht="15.75" customHeight="1">
      <c r="F985" s="48"/>
    </row>
    <row r="986" ht="15.75" customHeight="1">
      <c r="F986" s="48"/>
    </row>
    <row r="987" ht="15.75" customHeight="1">
      <c r="F987" s="48"/>
    </row>
    <row r="988" ht="15.75" customHeight="1">
      <c r="F988" s="48"/>
    </row>
    <row r="989" ht="15.75" customHeight="1">
      <c r="F989" s="48"/>
    </row>
    <row r="990" ht="15.75" customHeight="1">
      <c r="F990" s="48"/>
    </row>
    <row r="991" ht="15.75" customHeight="1">
      <c r="F991" s="48"/>
    </row>
    <row r="992" ht="15.75" customHeight="1">
      <c r="F992" s="48"/>
    </row>
    <row r="993" ht="15.75" customHeight="1">
      <c r="F993" s="48"/>
    </row>
    <row r="994" ht="15.75" customHeight="1">
      <c r="F994" s="48"/>
    </row>
    <row r="995" ht="15.75" customHeight="1">
      <c r="F995" s="48"/>
    </row>
    <row r="996" ht="15.75" customHeight="1">
      <c r="F996" s="48"/>
    </row>
    <row r="997" ht="15.75" customHeight="1">
      <c r="F997" s="48"/>
    </row>
    <row r="998" ht="15.75" customHeight="1">
      <c r="F998" s="48"/>
    </row>
    <row r="999" ht="15.75" customHeight="1">
      <c r="F999" s="48"/>
    </row>
    <row r="1000" ht="15.75" customHeight="1">
      <c r="F1000" s="48"/>
    </row>
    <row r="1001" ht="15.75" customHeight="1">
      <c r="F1001" s="48"/>
    </row>
    <row r="1002" ht="15.75" customHeight="1">
      <c r="F1002" s="48"/>
    </row>
    <row r="1003" ht="15.75" customHeight="1">
      <c r="F1003" s="4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29.57"/>
    <col customWidth="1" min="3" max="3" width="11.86"/>
    <col customWidth="1" min="4" max="4" width="11.71"/>
    <col customWidth="1" min="5" max="5" width="15.86"/>
    <col customWidth="1" min="6" max="6" width="27.86"/>
    <col customWidth="1" min="7" max="26" width="10.71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>
      <c r="A2" s="13">
        <v>45875.0</v>
      </c>
      <c r="B2" s="14" t="s">
        <v>6</v>
      </c>
      <c r="C2" s="15">
        <v>151200.0</v>
      </c>
      <c r="D2" s="15">
        <v>0.0</v>
      </c>
      <c r="E2" s="15">
        <v>0.0</v>
      </c>
      <c r="F2" s="16" t="s">
        <v>7</v>
      </c>
    </row>
    <row r="3">
      <c r="A3" s="17">
        <v>45875.0</v>
      </c>
      <c r="B3" s="18" t="s">
        <v>10</v>
      </c>
      <c r="C3" s="19">
        <v>0.0</v>
      </c>
      <c r="D3" s="19">
        <v>151200.0</v>
      </c>
      <c r="E3" s="19">
        <v>-151200.0</v>
      </c>
      <c r="F3" s="20"/>
    </row>
    <row r="4">
      <c r="A4" s="13">
        <v>45881.0</v>
      </c>
      <c r="B4" s="14" t="s">
        <v>10</v>
      </c>
      <c r="C4" s="15">
        <v>0.0</v>
      </c>
      <c r="D4" s="15">
        <v>54000.0</v>
      </c>
      <c r="E4" s="15">
        <v>367920.0</v>
      </c>
      <c r="F4" s="16"/>
    </row>
    <row r="5">
      <c r="A5" s="17">
        <v>45881.0</v>
      </c>
      <c r="B5" s="18" t="s">
        <v>6</v>
      </c>
      <c r="C5" s="19">
        <v>421920.0</v>
      </c>
      <c r="D5" s="19">
        <v>0.0</v>
      </c>
      <c r="E5" s="19">
        <v>421920.0</v>
      </c>
      <c r="F5" s="20" t="s">
        <v>7</v>
      </c>
    </row>
    <row r="6">
      <c r="A6" s="17">
        <v>45888.0</v>
      </c>
      <c r="B6" s="18" t="s">
        <v>10</v>
      </c>
      <c r="C6" s="19">
        <v>0.0</v>
      </c>
      <c r="D6" s="19">
        <v>168500.0</v>
      </c>
      <c r="E6" s="19">
        <v>199420.0</v>
      </c>
      <c r="F6" s="20"/>
    </row>
    <row r="7">
      <c r="A7" s="13">
        <v>45896.0</v>
      </c>
      <c r="B7" s="14" t="s">
        <v>6</v>
      </c>
      <c r="C7" s="15">
        <v>841552.0</v>
      </c>
      <c r="D7" s="15">
        <v>0.0</v>
      </c>
      <c r="E7" s="15">
        <v>1040972.0</v>
      </c>
      <c r="F7" s="16" t="s">
        <v>7</v>
      </c>
    </row>
    <row r="8">
      <c r="A8" s="17">
        <v>45899.0</v>
      </c>
      <c r="B8" s="18" t="s">
        <v>10</v>
      </c>
      <c r="C8" s="19">
        <v>0.0</v>
      </c>
      <c r="D8" s="19">
        <v>417600.0</v>
      </c>
      <c r="E8" s="19">
        <v>461372.0</v>
      </c>
      <c r="F8" s="20"/>
    </row>
    <row r="9">
      <c r="A9" s="13">
        <v>45899.0</v>
      </c>
      <c r="B9" s="14" t="s">
        <v>10</v>
      </c>
      <c r="C9" s="15">
        <v>0.0</v>
      </c>
      <c r="D9" s="15">
        <v>72000.0</v>
      </c>
      <c r="E9" s="15">
        <v>878972.0</v>
      </c>
      <c r="F9" s="16"/>
    </row>
    <row r="10">
      <c r="A10" s="17">
        <v>45899.0</v>
      </c>
      <c r="B10" s="18" t="s">
        <v>10</v>
      </c>
      <c r="C10" s="19">
        <v>0.0</v>
      </c>
      <c r="D10" s="19">
        <v>90000.0</v>
      </c>
      <c r="E10" s="19">
        <v>950972.0</v>
      </c>
      <c r="F10" s="20"/>
    </row>
    <row r="11">
      <c r="A11" s="17">
        <v>45900.0</v>
      </c>
      <c r="B11" s="18" t="s">
        <v>10</v>
      </c>
      <c r="C11" s="19">
        <v>0.0</v>
      </c>
      <c r="D11" s="19">
        <v>72000.0</v>
      </c>
      <c r="E11" s="19">
        <v>117372.0</v>
      </c>
      <c r="F11" s="20"/>
    </row>
    <row r="12">
      <c r="A12" s="13">
        <v>45900.0</v>
      </c>
      <c r="B12" s="14" t="s">
        <v>10</v>
      </c>
      <c r="C12" s="15">
        <v>0.0</v>
      </c>
      <c r="D12" s="15">
        <v>272000.0</v>
      </c>
      <c r="E12" s="15">
        <v>189372.0</v>
      </c>
      <c r="F12" s="16"/>
    </row>
    <row r="13">
      <c r="A13" s="13">
        <v>45906.0</v>
      </c>
      <c r="B13" s="14" t="s">
        <v>6</v>
      </c>
      <c r="C13" s="15">
        <v>188608.0</v>
      </c>
      <c r="D13" s="15">
        <v>0.0</v>
      </c>
      <c r="E13" s="15">
        <v>305980.0</v>
      </c>
      <c r="F13" s="16" t="s">
        <v>7</v>
      </c>
    </row>
    <row r="14">
      <c r="A14" s="13">
        <v>45907.0</v>
      </c>
      <c r="B14" s="14" t="s">
        <v>10</v>
      </c>
      <c r="C14" s="15">
        <v>0.0</v>
      </c>
      <c r="D14" s="15">
        <v>157000.0</v>
      </c>
      <c r="E14" s="15">
        <v>265220.0</v>
      </c>
      <c r="F14" s="16"/>
    </row>
    <row r="15">
      <c r="A15" s="17">
        <v>45907.0</v>
      </c>
      <c r="B15" s="18" t="s">
        <v>6</v>
      </c>
      <c r="C15" s="19">
        <v>116240.0</v>
      </c>
      <c r="D15" s="19">
        <v>0.0</v>
      </c>
      <c r="E15" s="19">
        <v>422220.0</v>
      </c>
      <c r="F15" s="20" t="s">
        <v>7</v>
      </c>
    </row>
    <row r="16">
      <c r="A16" s="17">
        <v>45910.0</v>
      </c>
      <c r="B16" s="18" t="s">
        <v>6</v>
      </c>
      <c r="C16" s="19">
        <v>44300.0</v>
      </c>
      <c r="D16" s="19">
        <v>0.0</v>
      </c>
      <c r="E16" s="19">
        <v>309520.0</v>
      </c>
      <c r="F16" s="20" t="s">
        <v>7</v>
      </c>
    </row>
    <row r="17">
      <c r="A17" s="13">
        <v>45915.0</v>
      </c>
      <c r="B17" s="14" t="s">
        <v>10</v>
      </c>
      <c r="C17" s="15">
        <v>0.0</v>
      </c>
      <c r="D17" s="15">
        <v>304500.0</v>
      </c>
      <c r="E17" s="15">
        <v>5020.0</v>
      </c>
      <c r="F17" s="16"/>
    </row>
    <row r="18">
      <c r="A18" s="17">
        <v>45918.0</v>
      </c>
      <c r="B18" s="18" t="s">
        <v>6</v>
      </c>
      <c r="C18" s="19">
        <v>78560.0</v>
      </c>
      <c r="D18" s="19">
        <v>0.0</v>
      </c>
      <c r="E18" s="19">
        <v>83580.0</v>
      </c>
      <c r="F18" s="20" t="s">
        <v>30</v>
      </c>
    </row>
    <row r="19">
      <c r="A19" s="13">
        <v>45921.0</v>
      </c>
      <c r="B19" s="14" t="s">
        <v>10</v>
      </c>
      <c r="C19" s="15">
        <v>0.0</v>
      </c>
      <c r="D19" s="15">
        <v>200000.0</v>
      </c>
      <c r="E19" s="15">
        <v>-116200.0</v>
      </c>
      <c r="F19" s="16"/>
    </row>
    <row r="20">
      <c r="A20" s="17">
        <v>45921.0</v>
      </c>
      <c r="B20" s="18" t="s">
        <v>10</v>
      </c>
      <c r="C20" s="19">
        <v>0.0</v>
      </c>
      <c r="D20" s="19">
        <v>54500.0</v>
      </c>
      <c r="E20" s="19">
        <v>83800.0</v>
      </c>
      <c r="F20" s="20"/>
    </row>
    <row r="21" ht="15.75" customHeight="1">
      <c r="A21" s="13">
        <v>45921.0</v>
      </c>
      <c r="B21" s="14" t="s">
        <v>6</v>
      </c>
      <c r="C21" s="15">
        <v>54720.0</v>
      </c>
      <c r="D21" s="15">
        <v>0.0</v>
      </c>
      <c r="E21" s="15">
        <v>138300.0</v>
      </c>
      <c r="F21" s="16" t="s">
        <v>34</v>
      </c>
    </row>
    <row r="22" ht="15.75" customHeight="1">
      <c r="A22" s="17">
        <v>45925.0</v>
      </c>
      <c r="B22" s="18" t="s">
        <v>6</v>
      </c>
      <c r="C22" s="19">
        <v>124640.0</v>
      </c>
      <c r="D22" s="19">
        <v>0.0</v>
      </c>
      <c r="E22" s="19">
        <v>8440.0</v>
      </c>
      <c r="F22" s="20" t="s">
        <v>36</v>
      </c>
    </row>
    <row r="23" ht="15.75" customHeight="1">
      <c r="A23" s="17">
        <v>45927.0</v>
      </c>
      <c r="B23" s="18" t="s">
        <v>10</v>
      </c>
      <c r="C23" s="19">
        <v>0.0</v>
      </c>
      <c r="D23" s="19">
        <v>78500.0</v>
      </c>
      <c r="E23" s="19">
        <v>-114560.0</v>
      </c>
      <c r="F23" s="20"/>
    </row>
    <row r="24" ht="15.75" customHeight="1">
      <c r="A24" s="13">
        <v>45927.0</v>
      </c>
      <c r="B24" s="14" t="s">
        <v>10</v>
      </c>
      <c r="C24" s="15">
        <v>0.0</v>
      </c>
      <c r="D24" s="15">
        <v>44500.0</v>
      </c>
      <c r="E24" s="15">
        <v>-36060.0</v>
      </c>
      <c r="F24" s="16"/>
    </row>
    <row r="25" ht="15.75" customHeight="1">
      <c r="A25" s="13">
        <v>45928.0</v>
      </c>
      <c r="B25" s="14" t="s">
        <v>6</v>
      </c>
      <c r="C25" s="15">
        <v>110960.0</v>
      </c>
      <c r="D25" s="15">
        <v>0.0</v>
      </c>
      <c r="E25" s="15">
        <v>-3600.0</v>
      </c>
      <c r="F25" s="16" t="s">
        <v>40</v>
      </c>
    </row>
    <row r="26" ht="15.75" customHeight="1">
      <c r="A26" s="17">
        <v>45930.0</v>
      </c>
      <c r="B26" s="18" t="s">
        <v>6</v>
      </c>
      <c r="C26" s="19">
        <v>92720.0</v>
      </c>
      <c r="D26" s="19">
        <v>0.0</v>
      </c>
      <c r="E26" s="19">
        <v>89120.0</v>
      </c>
      <c r="F26" s="20" t="s">
        <v>44</v>
      </c>
    </row>
    <row r="27" ht="15.75" customHeight="1">
      <c r="A27" s="13">
        <v>45932.0</v>
      </c>
      <c r="B27" s="14" t="s">
        <v>6</v>
      </c>
      <c r="C27" s="15">
        <v>97280.0</v>
      </c>
      <c r="D27" s="15">
        <v>0.0</v>
      </c>
      <c r="E27" s="15">
        <v>186400.0</v>
      </c>
      <c r="F27" s="16" t="s">
        <v>7</v>
      </c>
    </row>
    <row r="28" ht="15.75" customHeight="1">
      <c r="A28" s="17">
        <v>45935.0</v>
      </c>
      <c r="B28" s="18" t="s">
        <v>6</v>
      </c>
      <c r="C28" s="19">
        <v>36000.0</v>
      </c>
      <c r="D28" s="19">
        <v>0.0</v>
      </c>
      <c r="E28" s="19">
        <v>222400.0</v>
      </c>
      <c r="F28" s="20" t="s">
        <v>49</v>
      </c>
    </row>
    <row r="29" ht="15.75" customHeight="1">
      <c r="A29" s="13">
        <v>45937.0</v>
      </c>
      <c r="B29" s="14" t="s">
        <v>6</v>
      </c>
      <c r="C29" s="15">
        <v>12000.0</v>
      </c>
      <c r="D29" s="15">
        <v>0.0</v>
      </c>
      <c r="E29" s="15">
        <v>234400.0</v>
      </c>
      <c r="F29" s="16" t="s">
        <v>52</v>
      </c>
    </row>
    <row r="30" ht="15.75" customHeight="1">
      <c r="A30" s="17">
        <v>45943.0</v>
      </c>
      <c r="B30" s="18" t="s">
        <v>53</v>
      </c>
      <c r="C30" s="19">
        <v>24000.0</v>
      </c>
      <c r="D30" s="19">
        <v>0.0</v>
      </c>
      <c r="E30" s="19">
        <v>258400.0</v>
      </c>
      <c r="F30" s="20" t="s">
        <v>56</v>
      </c>
    </row>
    <row r="31" ht="15.75" customHeight="1">
      <c r="A31" s="13">
        <v>45945.0</v>
      </c>
      <c r="B31" s="14" t="s">
        <v>6</v>
      </c>
      <c r="C31" s="15">
        <v>12000.0</v>
      </c>
      <c r="D31" s="15">
        <v>0.0</v>
      </c>
      <c r="E31" s="15">
        <v>270400.0</v>
      </c>
      <c r="F31" s="16" t="s">
        <v>59</v>
      </c>
    </row>
    <row r="32" ht="15.75" customHeight="1">
      <c r="A32" s="17">
        <v>45946.0</v>
      </c>
      <c r="B32" s="18" t="s">
        <v>10</v>
      </c>
      <c r="C32" s="19">
        <v>0.0</v>
      </c>
      <c r="D32" s="19">
        <v>225000.0</v>
      </c>
      <c r="E32" s="19">
        <v>45400.0</v>
      </c>
      <c r="F32" s="20"/>
    </row>
    <row r="33" ht="15.75" customHeight="1">
      <c r="A33" s="13">
        <v>45953.0</v>
      </c>
      <c r="B33" s="14" t="s">
        <v>10</v>
      </c>
      <c r="C33" s="15">
        <v>0.0</v>
      </c>
      <c r="D33" s="15">
        <v>72000.0</v>
      </c>
      <c r="E33" s="15">
        <v>-26600.0</v>
      </c>
      <c r="F33" s="16"/>
    </row>
    <row r="34" ht="15.75" customHeight="1">
      <c r="A34" s="17">
        <v>45972.0</v>
      </c>
      <c r="B34" s="18" t="s">
        <v>6</v>
      </c>
      <c r="C34" s="19">
        <v>12000.0</v>
      </c>
      <c r="D34" s="19">
        <v>0.0</v>
      </c>
      <c r="E34" s="19">
        <v>-14600.0</v>
      </c>
      <c r="F34" s="20" t="s">
        <v>64</v>
      </c>
    </row>
    <row r="35" ht="15.75" customHeight="1">
      <c r="A35" s="13">
        <v>45980.0</v>
      </c>
      <c r="B35" s="14" t="s">
        <v>10</v>
      </c>
      <c r="C35" s="15">
        <v>0.0</v>
      </c>
      <c r="D35" s="15">
        <v>12000.0</v>
      </c>
      <c r="E35" s="15">
        <v>-26600.0</v>
      </c>
      <c r="F35" s="16"/>
    </row>
    <row r="36" ht="15.75" customHeight="1">
      <c r="A36" s="17">
        <v>45992.0</v>
      </c>
      <c r="B36" s="18" t="s">
        <v>53</v>
      </c>
      <c r="C36" s="19">
        <v>88200.0</v>
      </c>
      <c r="D36" s="19">
        <v>0.0</v>
      </c>
      <c r="E36" s="19">
        <v>61600.0</v>
      </c>
      <c r="F36" s="20" t="s">
        <v>68</v>
      </c>
    </row>
    <row r="37" ht="15.75" customHeight="1">
      <c r="A37" s="13">
        <v>45993.0</v>
      </c>
      <c r="B37" s="14" t="s">
        <v>6</v>
      </c>
      <c r="C37" s="15">
        <v>35000.0</v>
      </c>
      <c r="D37" s="15">
        <v>0.0</v>
      </c>
      <c r="E37" s="15">
        <v>96600.0</v>
      </c>
      <c r="F37" s="16" t="s">
        <v>73</v>
      </c>
    </row>
    <row r="38" ht="15.75" customHeight="1">
      <c r="A38" s="17">
        <v>45994.0</v>
      </c>
      <c r="B38" s="18" t="s">
        <v>6</v>
      </c>
      <c r="C38" s="19">
        <v>60000.0</v>
      </c>
      <c r="D38" s="19">
        <v>0.0</v>
      </c>
      <c r="E38" s="19">
        <v>156600.0</v>
      </c>
      <c r="F38" s="20" t="s">
        <v>76</v>
      </c>
    </row>
    <row r="39" ht="15.75" customHeight="1">
      <c r="A39" s="13">
        <v>45998.0</v>
      </c>
      <c r="B39" s="14" t="s">
        <v>6</v>
      </c>
      <c r="C39" s="15">
        <v>107000.0</v>
      </c>
      <c r="D39" s="15">
        <v>0.0</v>
      </c>
      <c r="E39" s="15">
        <v>263600.0</v>
      </c>
      <c r="F39" s="16" t="s">
        <v>79</v>
      </c>
    </row>
    <row r="40" ht="15.75" customHeight="1">
      <c r="A40" s="13">
        <v>46000.0</v>
      </c>
      <c r="B40" s="14" t="s">
        <v>10</v>
      </c>
      <c r="C40" s="15">
        <v>0.0</v>
      </c>
      <c r="D40" s="15">
        <v>35000.0</v>
      </c>
      <c r="E40" s="15">
        <v>140600.0</v>
      </c>
      <c r="F40" s="16"/>
    </row>
    <row r="41" ht="15.75" customHeight="1">
      <c r="A41" s="17">
        <v>46000.0</v>
      </c>
      <c r="B41" s="18" t="s">
        <v>10</v>
      </c>
      <c r="C41" s="19">
        <v>0.0</v>
      </c>
      <c r="D41" s="19">
        <v>88000.0</v>
      </c>
      <c r="E41" s="19">
        <v>175600.0</v>
      </c>
      <c r="F41" s="20"/>
    </row>
    <row r="42" ht="15.75" customHeight="1">
      <c r="A42" s="17">
        <v>46001.0</v>
      </c>
      <c r="B42" s="18" t="s">
        <v>6</v>
      </c>
      <c r="C42" s="19">
        <v>80000.0</v>
      </c>
      <c r="D42" s="19">
        <v>0.0</v>
      </c>
      <c r="E42" s="19">
        <v>220600.0</v>
      </c>
      <c r="F42" s="20" t="s">
        <v>86</v>
      </c>
    </row>
    <row r="43" ht="15.75" customHeight="1">
      <c r="A43" s="13">
        <v>46005.0</v>
      </c>
      <c r="B43" s="14" t="s">
        <v>6</v>
      </c>
      <c r="C43" s="15">
        <v>125000.0</v>
      </c>
      <c r="D43" s="15">
        <v>0.0</v>
      </c>
      <c r="E43" s="15">
        <v>345600.0</v>
      </c>
      <c r="F43" s="16" t="s">
        <v>90</v>
      </c>
    </row>
    <row r="44" ht="15.75" customHeight="1">
      <c r="A44" s="13">
        <v>46007.0</v>
      </c>
      <c r="B44" s="14" t="s">
        <v>6</v>
      </c>
      <c r="C44" s="15">
        <v>50000.0</v>
      </c>
      <c r="D44" s="15">
        <v>0.0</v>
      </c>
      <c r="E44" s="15">
        <v>480600.0</v>
      </c>
      <c r="F44" s="16" t="s">
        <v>93</v>
      </c>
    </row>
    <row r="45" ht="15.75" customHeight="1">
      <c r="A45" s="17">
        <v>46007.0</v>
      </c>
      <c r="B45" s="18" t="s">
        <v>6</v>
      </c>
      <c r="C45" s="19">
        <v>85000.0</v>
      </c>
      <c r="D45" s="19">
        <v>0.0</v>
      </c>
      <c r="E45" s="19">
        <v>430600.0</v>
      </c>
      <c r="F45" s="20" t="s">
        <v>95</v>
      </c>
    </row>
    <row r="46" ht="15.75" customHeight="1">
      <c r="A46" s="13">
        <v>46009.0</v>
      </c>
      <c r="B46" s="14" t="s">
        <v>6</v>
      </c>
      <c r="C46" s="15">
        <v>180000.0</v>
      </c>
      <c r="D46" s="15">
        <v>0.0</v>
      </c>
      <c r="E46" s="15">
        <v>440600.0</v>
      </c>
      <c r="F46" s="16" t="s">
        <v>99</v>
      </c>
    </row>
    <row r="47" ht="15.75" customHeight="1">
      <c r="A47" s="17">
        <v>46009.0</v>
      </c>
      <c r="B47" s="18" t="s">
        <v>10</v>
      </c>
      <c r="C47" s="19">
        <v>0.0</v>
      </c>
      <c r="D47" s="19">
        <v>220000.0</v>
      </c>
      <c r="E47" s="19">
        <v>260600.0</v>
      </c>
      <c r="F47" s="20"/>
    </row>
    <row r="48" ht="15.75" customHeight="1">
      <c r="A48" s="17">
        <v>46014.0</v>
      </c>
      <c r="B48" s="18" t="s">
        <v>6</v>
      </c>
      <c r="C48" s="19">
        <v>205000.0</v>
      </c>
      <c r="D48" s="19">
        <v>0.0</v>
      </c>
      <c r="E48" s="19">
        <v>645600.0</v>
      </c>
      <c r="F48" s="20" t="s">
        <v>103</v>
      </c>
    </row>
    <row r="49" ht="15.75" customHeight="1">
      <c r="A49" s="17">
        <v>46015.0</v>
      </c>
      <c r="B49" s="18" t="s">
        <v>6</v>
      </c>
      <c r="C49" s="19">
        <v>75000.0</v>
      </c>
      <c r="D49" s="19">
        <v>0.0</v>
      </c>
      <c r="E49" s="19">
        <v>560600.0</v>
      </c>
      <c r="F49" s="20" t="s">
        <v>105</v>
      </c>
    </row>
    <row r="50" ht="15.75" customHeight="1">
      <c r="A50" s="13">
        <v>46015.0</v>
      </c>
      <c r="B50" s="14" t="s">
        <v>10</v>
      </c>
      <c r="C50" s="15">
        <v>0.0</v>
      </c>
      <c r="D50" s="15">
        <v>55000.0</v>
      </c>
      <c r="E50" s="15">
        <v>485600.0</v>
      </c>
      <c r="F50" s="16"/>
    </row>
    <row r="51" ht="15.75" customHeight="1">
      <c r="A51" s="17">
        <v>46015.0</v>
      </c>
      <c r="B51" s="18" t="s">
        <v>10</v>
      </c>
      <c r="C51" s="19">
        <v>0.0</v>
      </c>
      <c r="D51" s="19">
        <v>70000.0</v>
      </c>
      <c r="E51" s="19">
        <v>540600.0</v>
      </c>
      <c r="F51" s="20"/>
    </row>
    <row r="52" ht="15.75" customHeight="1">
      <c r="A52" s="13">
        <v>46015.0</v>
      </c>
      <c r="B52" s="14" t="s">
        <v>10</v>
      </c>
      <c r="C52" s="15">
        <v>0.0</v>
      </c>
      <c r="D52" s="15">
        <v>35000.0</v>
      </c>
      <c r="E52" s="15">
        <v>610600.0</v>
      </c>
      <c r="F52" s="16"/>
    </row>
    <row r="53" ht="15.75" customHeight="1">
      <c r="A53" s="13">
        <v>46018.0</v>
      </c>
      <c r="B53" s="14" t="s">
        <v>6</v>
      </c>
      <c r="C53" s="15">
        <v>40000.0</v>
      </c>
      <c r="D53" s="15">
        <v>0.0</v>
      </c>
      <c r="E53" s="15">
        <v>600600.0</v>
      </c>
      <c r="F53" s="16" t="s">
        <v>115</v>
      </c>
    </row>
    <row r="54" ht="15.75" customHeight="1">
      <c r="A54" s="17">
        <v>46019.0</v>
      </c>
      <c r="B54" s="18" t="s">
        <v>6</v>
      </c>
      <c r="C54" s="19">
        <v>40000.0</v>
      </c>
      <c r="D54" s="19">
        <v>0.0</v>
      </c>
      <c r="E54" s="19">
        <v>640600.0</v>
      </c>
      <c r="F54" s="20" t="s">
        <v>118</v>
      </c>
    </row>
    <row r="55" ht="15.75" customHeight="1">
      <c r="A55" s="13">
        <v>46020.0</v>
      </c>
      <c r="B55" s="14" t="s">
        <v>10</v>
      </c>
      <c r="C55" s="15">
        <v>0.0</v>
      </c>
      <c r="D55" s="15">
        <v>180000.0</v>
      </c>
      <c r="E55" s="15">
        <v>155600.0</v>
      </c>
      <c r="F55" s="16"/>
    </row>
    <row r="56" ht="15.75" customHeight="1">
      <c r="A56" s="17">
        <v>46020.0</v>
      </c>
      <c r="B56" s="18" t="s">
        <v>10</v>
      </c>
      <c r="C56" s="19">
        <v>0.0</v>
      </c>
      <c r="D56" s="19">
        <v>205000.0</v>
      </c>
      <c r="E56" s="19">
        <v>335600.0</v>
      </c>
      <c r="F56" s="20"/>
    </row>
    <row r="57" ht="15.75" customHeight="1">
      <c r="A57" s="13">
        <v>46020.0</v>
      </c>
      <c r="B57" s="14" t="s">
        <v>10</v>
      </c>
      <c r="C57" s="15">
        <v>0.0</v>
      </c>
      <c r="D57" s="15">
        <v>100000.0</v>
      </c>
      <c r="E57" s="15">
        <v>540600.0</v>
      </c>
      <c r="F57" s="16"/>
    </row>
    <row r="58" ht="15.75" customHeight="1">
      <c r="A58" s="17">
        <v>46021.0</v>
      </c>
      <c r="B58" s="18" t="s">
        <v>6</v>
      </c>
      <c r="C58" s="19">
        <v>65000.0</v>
      </c>
      <c r="D58" s="19">
        <v>0.0</v>
      </c>
      <c r="E58" s="19">
        <v>220600.0</v>
      </c>
      <c r="F58" s="20" t="s">
        <v>128</v>
      </c>
    </row>
    <row r="59" ht="15.75" customHeight="1">
      <c r="A59" s="17" t="s">
        <v>129</v>
      </c>
      <c r="B59" s="18" t="s">
        <v>6</v>
      </c>
      <c r="C59" s="19" t="s">
        <v>130</v>
      </c>
      <c r="D59" s="19"/>
      <c r="E59" s="19">
        <f t="shared" ref="E59:E155" si="1">+E58+C59-D59</f>
        <v>271000</v>
      </c>
      <c r="F59" s="20" t="s">
        <v>134</v>
      </c>
    </row>
    <row r="60" ht="15.75" customHeight="1">
      <c r="A60" s="37">
        <v>46026.0</v>
      </c>
      <c r="B60" s="38" t="s">
        <v>10</v>
      </c>
      <c r="C60" s="39"/>
      <c r="D60" s="39">
        <v>40000.0</v>
      </c>
      <c r="E60" s="40">
        <f t="shared" si="1"/>
        <v>231000</v>
      </c>
      <c r="F60" s="41"/>
    </row>
    <row r="61" ht="15.75" customHeight="1">
      <c r="A61" s="37">
        <v>46026.0</v>
      </c>
      <c r="B61" s="38" t="s">
        <v>10</v>
      </c>
      <c r="C61" s="39"/>
      <c r="D61" s="39">
        <v>115000.0</v>
      </c>
      <c r="E61" s="40">
        <f t="shared" si="1"/>
        <v>116000</v>
      </c>
      <c r="F61" s="41"/>
    </row>
    <row r="62" ht="15.75" customHeight="1">
      <c r="A62" s="37">
        <v>46026.0</v>
      </c>
      <c r="B62" s="38" t="s">
        <v>10</v>
      </c>
      <c r="C62" s="39"/>
      <c r="D62" s="39">
        <v>65000.0</v>
      </c>
      <c r="E62" s="40">
        <f t="shared" si="1"/>
        <v>51000</v>
      </c>
      <c r="F62" s="41"/>
    </row>
    <row r="63" ht="15.75" customHeight="1">
      <c r="A63" s="21">
        <v>46026.0</v>
      </c>
      <c r="B63" s="46" t="s">
        <v>6</v>
      </c>
      <c r="C63" s="23">
        <v>110000.0</v>
      </c>
      <c r="D63" s="23"/>
      <c r="E63" s="8">
        <f t="shared" si="1"/>
        <v>161000</v>
      </c>
      <c r="F63" s="48" t="s">
        <v>150</v>
      </c>
    </row>
    <row r="64" ht="15.75" customHeight="1">
      <c r="A64" s="21">
        <v>46027.0</v>
      </c>
      <c r="B64" s="18" t="s">
        <v>6</v>
      </c>
      <c r="C64" s="25">
        <v>90000.0</v>
      </c>
      <c r="D64" s="23"/>
      <c r="E64" s="8">
        <f t="shared" si="1"/>
        <v>251000</v>
      </c>
      <c r="F64" s="49" t="s">
        <v>153</v>
      </c>
    </row>
    <row r="65" ht="15.75" customHeight="1">
      <c r="A65" s="50">
        <v>46030.0</v>
      </c>
      <c r="B65" s="46" t="s">
        <v>6</v>
      </c>
      <c r="C65" s="23">
        <v>110000.0</v>
      </c>
      <c r="D65" s="23"/>
      <c r="E65" s="8">
        <f t="shared" si="1"/>
        <v>361000</v>
      </c>
      <c r="F65" s="49" t="s">
        <v>158</v>
      </c>
    </row>
    <row r="66" ht="15.75" customHeight="1">
      <c r="A66" s="50">
        <v>46033.0</v>
      </c>
      <c r="B66" s="46" t="s">
        <v>6</v>
      </c>
      <c r="C66" s="25">
        <v>70000.0</v>
      </c>
      <c r="D66" s="23"/>
      <c r="E66" s="8">
        <f t="shared" si="1"/>
        <v>431000</v>
      </c>
      <c r="F66" s="49" t="s">
        <v>160</v>
      </c>
    </row>
    <row r="67" ht="15.75" customHeight="1">
      <c r="A67" s="50">
        <v>46035.0</v>
      </c>
      <c r="B67" s="46" t="s">
        <v>6</v>
      </c>
      <c r="C67" s="53">
        <v>45000.0</v>
      </c>
      <c r="D67" s="50"/>
      <c r="E67" s="8">
        <f t="shared" si="1"/>
        <v>476000</v>
      </c>
      <c r="F67" s="49" t="s">
        <v>163</v>
      </c>
    </row>
    <row r="68" ht="15.75" customHeight="1">
      <c r="A68" s="50">
        <v>46040.0</v>
      </c>
      <c r="B68" s="56" t="s">
        <v>10</v>
      </c>
      <c r="C68" s="23"/>
      <c r="D68" s="59">
        <v>251000.0</v>
      </c>
      <c r="E68" s="31">
        <f t="shared" si="1"/>
        <v>225000</v>
      </c>
      <c r="F68" s="48"/>
    </row>
    <row r="69" ht="15.75" customHeight="1">
      <c r="A69" s="50">
        <v>46040.0</v>
      </c>
      <c r="B69" s="56" t="s">
        <v>10</v>
      </c>
      <c r="C69" s="23"/>
      <c r="D69" s="59">
        <v>110000.0</v>
      </c>
      <c r="E69" s="31">
        <f t="shared" si="1"/>
        <v>115000</v>
      </c>
      <c r="F69" s="48"/>
    </row>
    <row r="70" ht="15.75" customHeight="1">
      <c r="A70" s="50">
        <v>46040.0</v>
      </c>
      <c r="B70" s="56" t="s">
        <v>10</v>
      </c>
      <c r="C70" s="25"/>
      <c r="D70" s="25">
        <v>70000.0</v>
      </c>
      <c r="E70" s="31">
        <f t="shared" si="1"/>
        <v>45000</v>
      </c>
      <c r="F70" s="49"/>
    </row>
    <row r="71" ht="15.75" customHeight="1">
      <c r="A71" s="50">
        <v>46040.0</v>
      </c>
      <c r="B71" s="56" t="s">
        <v>10</v>
      </c>
      <c r="C71" s="25"/>
      <c r="D71" s="25">
        <v>45000.0</v>
      </c>
      <c r="E71" s="31">
        <f t="shared" si="1"/>
        <v>0</v>
      </c>
      <c r="F71" s="49"/>
    </row>
    <row r="72" ht="15.75" customHeight="1">
      <c r="A72" s="50">
        <v>46040.0</v>
      </c>
      <c r="B72" s="46" t="s">
        <v>6</v>
      </c>
      <c r="C72" s="25">
        <v>30000.0</v>
      </c>
      <c r="D72" s="23"/>
      <c r="E72" s="31">
        <f t="shared" si="1"/>
        <v>30000</v>
      </c>
      <c r="F72" s="49" t="s">
        <v>174</v>
      </c>
    </row>
    <row r="73" ht="15.75" customHeight="1">
      <c r="A73" s="50">
        <v>46042.0</v>
      </c>
      <c r="B73" s="46" t="s">
        <v>6</v>
      </c>
      <c r="C73" s="25">
        <v>110000.0</v>
      </c>
      <c r="D73" s="23"/>
      <c r="E73" s="31">
        <f t="shared" si="1"/>
        <v>140000</v>
      </c>
      <c r="F73" s="49" t="s">
        <v>176</v>
      </c>
    </row>
    <row r="74" ht="15.75" customHeight="1">
      <c r="A74" s="50">
        <v>46043.0</v>
      </c>
      <c r="B74" s="46" t="s">
        <v>6</v>
      </c>
      <c r="C74" s="25">
        <v>50000.0</v>
      </c>
      <c r="D74" s="23"/>
      <c r="E74" s="31">
        <f t="shared" si="1"/>
        <v>190000</v>
      </c>
      <c r="F74" s="49" t="s">
        <v>179</v>
      </c>
    </row>
    <row r="75" ht="15.75" customHeight="1">
      <c r="A75" s="50">
        <v>46044.0</v>
      </c>
      <c r="B75" s="46" t="s">
        <v>6</v>
      </c>
      <c r="C75" s="25">
        <v>65000.0</v>
      </c>
      <c r="D75" s="23"/>
      <c r="E75" s="31">
        <f t="shared" si="1"/>
        <v>255000</v>
      </c>
      <c r="F75" s="49" t="s">
        <v>183</v>
      </c>
    </row>
    <row r="76" ht="15.75" customHeight="1">
      <c r="A76" s="50">
        <v>46048.0</v>
      </c>
      <c r="B76" s="46" t="s">
        <v>6</v>
      </c>
      <c r="C76" s="25">
        <v>105000.0</v>
      </c>
      <c r="D76" s="23"/>
      <c r="E76" s="31">
        <f t="shared" si="1"/>
        <v>360000</v>
      </c>
      <c r="F76" s="49" t="s">
        <v>185</v>
      </c>
    </row>
    <row r="77" ht="15.75" customHeight="1">
      <c r="A77" s="50">
        <v>46048.0</v>
      </c>
      <c r="B77" s="56" t="s">
        <v>10</v>
      </c>
      <c r="C77" s="23"/>
      <c r="D77" s="25">
        <v>30000.0</v>
      </c>
      <c r="E77" s="31">
        <f t="shared" si="1"/>
        <v>330000</v>
      </c>
      <c r="F77" s="48"/>
    </row>
    <row r="78" ht="15.75" customHeight="1">
      <c r="A78" s="50">
        <v>46048.0</v>
      </c>
      <c r="B78" s="56" t="s">
        <v>10</v>
      </c>
      <c r="C78" s="23"/>
      <c r="D78" s="25">
        <v>120000.0</v>
      </c>
      <c r="E78" s="31">
        <f t="shared" si="1"/>
        <v>210000</v>
      </c>
      <c r="F78" s="48"/>
    </row>
    <row r="79" ht="15.75" customHeight="1">
      <c r="A79" s="50">
        <v>46049.0</v>
      </c>
      <c r="B79" s="46" t="s">
        <v>6</v>
      </c>
      <c r="C79" s="25">
        <v>50000.0</v>
      </c>
      <c r="D79" s="23"/>
      <c r="E79" s="31">
        <f t="shared" si="1"/>
        <v>260000</v>
      </c>
      <c r="F79" s="49" t="s">
        <v>192</v>
      </c>
    </row>
    <row r="80" ht="15.75" customHeight="1">
      <c r="A80" s="50">
        <v>46049.0</v>
      </c>
      <c r="B80" s="56" t="s">
        <v>10</v>
      </c>
      <c r="C80" s="23"/>
      <c r="D80" s="25">
        <v>120000.0</v>
      </c>
      <c r="E80" s="31">
        <f t="shared" si="1"/>
        <v>140000</v>
      </c>
      <c r="F80" s="48"/>
    </row>
    <row r="81" ht="15.75" customHeight="1">
      <c r="A81" s="50">
        <v>46050.0</v>
      </c>
      <c r="B81" s="46" t="s">
        <v>6</v>
      </c>
      <c r="C81" s="25">
        <v>55000.0</v>
      </c>
      <c r="D81" s="23"/>
      <c r="E81" s="31">
        <f t="shared" si="1"/>
        <v>195000</v>
      </c>
      <c r="F81" s="49" t="s">
        <v>198</v>
      </c>
    </row>
    <row r="82" ht="15.75" customHeight="1">
      <c r="A82" s="50">
        <v>46054.0</v>
      </c>
      <c r="B82" s="46" t="s">
        <v>6</v>
      </c>
      <c r="C82" s="25">
        <v>85000.0</v>
      </c>
      <c r="D82" s="23"/>
      <c r="E82" s="31">
        <f t="shared" si="1"/>
        <v>280000</v>
      </c>
      <c r="F82" s="49" t="s">
        <v>201</v>
      </c>
    </row>
    <row r="83" ht="15.75" customHeight="1">
      <c r="A83" s="50">
        <v>46054.0</v>
      </c>
      <c r="B83" s="56" t="s">
        <v>10</v>
      </c>
      <c r="C83" s="23"/>
      <c r="D83" s="25">
        <v>210000.0</v>
      </c>
      <c r="E83" s="31">
        <f t="shared" si="1"/>
        <v>70000</v>
      </c>
      <c r="F83" s="48"/>
    </row>
    <row r="84" ht="15.75" customHeight="1">
      <c r="A84" s="50">
        <v>46056.0</v>
      </c>
      <c r="B84" s="46" t="s">
        <v>6</v>
      </c>
      <c r="C84" s="25">
        <v>55000.0</v>
      </c>
      <c r="D84" s="23"/>
      <c r="E84" s="31">
        <f t="shared" si="1"/>
        <v>125000</v>
      </c>
      <c r="F84" s="49" t="s">
        <v>205</v>
      </c>
    </row>
    <row r="85" ht="15.75" customHeight="1">
      <c r="A85" s="50">
        <v>46057.0</v>
      </c>
      <c r="B85" s="46" t="s">
        <v>6</v>
      </c>
      <c r="C85" s="25">
        <v>65000.0</v>
      </c>
      <c r="D85" s="23"/>
      <c r="E85" s="31">
        <f t="shared" si="1"/>
        <v>190000</v>
      </c>
      <c r="F85" s="49" t="s">
        <v>208</v>
      </c>
    </row>
    <row r="86" ht="15.75" customHeight="1">
      <c r="A86" s="50">
        <v>46058.0</v>
      </c>
      <c r="B86" s="46" t="s">
        <v>6</v>
      </c>
      <c r="C86" s="25">
        <v>60000.0</v>
      </c>
      <c r="D86" s="23"/>
      <c r="E86" s="31">
        <f t="shared" si="1"/>
        <v>250000</v>
      </c>
      <c r="F86" s="49" t="s">
        <v>210</v>
      </c>
    </row>
    <row r="87" ht="15.75" customHeight="1">
      <c r="A87" s="50">
        <v>46061.0</v>
      </c>
      <c r="B87" s="46" t="s">
        <v>6</v>
      </c>
      <c r="C87" s="25">
        <v>85000.0</v>
      </c>
      <c r="D87" s="23"/>
      <c r="E87" s="31">
        <f t="shared" si="1"/>
        <v>335000</v>
      </c>
      <c r="F87" s="49" t="s">
        <v>214</v>
      </c>
    </row>
    <row r="88" ht="15.75" customHeight="1">
      <c r="A88" s="50">
        <v>46063.0</v>
      </c>
      <c r="B88" s="56" t="s">
        <v>10</v>
      </c>
      <c r="C88" s="23"/>
      <c r="D88" s="25">
        <v>55000.0</v>
      </c>
      <c r="E88" s="31">
        <f t="shared" si="1"/>
        <v>280000</v>
      </c>
      <c r="F88" s="48"/>
    </row>
    <row r="89" ht="15.75" customHeight="1">
      <c r="A89" s="50">
        <v>46063.0</v>
      </c>
      <c r="B89" s="56" t="s">
        <v>10</v>
      </c>
      <c r="C89" s="23"/>
      <c r="D89" s="25">
        <v>85000.0</v>
      </c>
      <c r="E89" s="31">
        <f t="shared" si="1"/>
        <v>195000</v>
      </c>
      <c r="F89" s="48"/>
    </row>
    <row r="90" ht="15.75" customHeight="1">
      <c r="A90" s="50">
        <v>46064.0</v>
      </c>
      <c r="B90" s="46" t="s">
        <v>6</v>
      </c>
      <c r="C90" s="25">
        <v>136500.0</v>
      </c>
      <c r="D90" s="23"/>
      <c r="E90" s="31">
        <f t="shared" si="1"/>
        <v>331500</v>
      </c>
      <c r="F90" s="49" t="s">
        <v>222</v>
      </c>
    </row>
    <row r="91" ht="15.75" customHeight="1">
      <c r="A91" s="42">
        <v>46064.0</v>
      </c>
      <c r="B91" s="56" t="s">
        <v>10</v>
      </c>
      <c r="C91" s="25"/>
      <c r="D91" s="25">
        <v>132000.0</v>
      </c>
      <c r="E91" s="31">
        <f t="shared" si="1"/>
        <v>199500</v>
      </c>
      <c r="F91" s="49"/>
    </row>
    <row r="92" ht="15.75" customHeight="1">
      <c r="A92" s="42">
        <v>46068.0</v>
      </c>
      <c r="B92" s="5" t="s">
        <v>6</v>
      </c>
      <c r="C92" s="25">
        <v>80000.0</v>
      </c>
      <c r="D92" s="23"/>
      <c r="E92" s="31">
        <f t="shared" si="1"/>
        <v>279500</v>
      </c>
      <c r="F92" s="49" t="s">
        <v>227</v>
      </c>
    </row>
    <row r="93" ht="15.75" customHeight="1">
      <c r="A93" s="50">
        <v>46069.0</v>
      </c>
      <c r="B93" s="56" t="s">
        <v>10</v>
      </c>
      <c r="C93" s="23"/>
      <c r="D93" s="25">
        <v>125000.0</v>
      </c>
      <c r="E93" s="31">
        <f t="shared" si="1"/>
        <v>154500</v>
      </c>
      <c r="F93" s="48"/>
    </row>
    <row r="94" ht="15.75" customHeight="1">
      <c r="A94" s="50">
        <v>46070.0</v>
      </c>
      <c r="B94" s="46" t="s">
        <v>6</v>
      </c>
      <c r="C94" s="25">
        <v>85000.0</v>
      </c>
      <c r="D94" s="25"/>
      <c r="E94" s="31">
        <f t="shared" si="1"/>
        <v>239500</v>
      </c>
      <c r="F94" s="49" t="s">
        <v>231</v>
      </c>
    </row>
    <row r="95" ht="15.75" customHeight="1">
      <c r="A95" s="50">
        <v>46070.0</v>
      </c>
      <c r="B95" s="56" t="s">
        <v>10</v>
      </c>
      <c r="C95" s="23"/>
      <c r="D95" s="25">
        <v>85000.0</v>
      </c>
      <c r="E95" s="31">
        <f t="shared" si="1"/>
        <v>154500</v>
      </c>
      <c r="F95" s="48"/>
    </row>
    <row r="96" ht="15.75" customHeight="1">
      <c r="A96" s="50">
        <v>46071.0</v>
      </c>
      <c r="B96" s="56" t="s">
        <v>10</v>
      </c>
      <c r="C96" s="25"/>
      <c r="D96" s="25">
        <v>85000.0</v>
      </c>
      <c r="E96" s="31">
        <f t="shared" si="1"/>
        <v>69500</v>
      </c>
      <c r="F96" s="49"/>
    </row>
    <row r="97" ht="15.75" customHeight="1">
      <c r="A97" s="50">
        <v>46071.0</v>
      </c>
      <c r="B97" s="46" t="s">
        <v>6</v>
      </c>
      <c r="C97" s="25">
        <v>30000.0</v>
      </c>
      <c r="D97" s="23"/>
      <c r="E97" s="31">
        <f t="shared" si="1"/>
        <v>99500</v>
      </c>
      <c r="F97" s="49" t="s">
        <v>237</v>
      </c>
    </row>
    <row r="98" ht="15.75" customHeight="1">
      <c r="A98" s="50">
        <v>46075.0</v>
      </c>
      <c r="B98" s="46" t="s">
        <v>6</v>
      </c>
      <c r="C98" s="25">
        <v>35000.0</v>
      </c>
      <c r="D98" s="23"/>
      <c r="E98" s="31">
        <f t="shared" si="1"/>
        <v>134500</v>
      </c>
      <c r="F98" s="49" t="s">
        <v>241</v>
      </c>
    </row>
    <row r="99" ht="15.75" customHeight="1">
      <c r="A99" s="50">
        <v>46077.0</v>
      </c>
      <c r="B99" s="46" t="s">
        <v>6</v>
      </c>
      <c r="C99" s="25">
        <v>40000.0</v>
      </c>
      <c r="D99" s="23"/>
      <c r="E99" s="31">
        <f t="shared" si="1"/>
        <v>174500</v>
      </c>
      <c r="F99" s="49" t="s">
        <v>245</v>
      </c>
    </row>
    <row r="100" ht="15.75" customHeight="1">
      <c r="A100" s="50">
        <v>46078.0</v>
      </c>
      <c r="B100" s="56" t="s">
        <v>10</v>
      </c>
      <c r="C100" s="23"/>
      <c r="D100" s="25">
        <v>80000.0</v>
      </c>
      <c r="E100" s="31">
        <f t="shared" si="1"/>
        <v>94500</v>
      </c>
      <c r="F100" s="48"/>
    </row>
    <row r="101" ht="15.75" customHeight="1">
      <c r="A101" s="50">
        <v>46079.0</v>
      </c>
      <c r="B101" s="46" t="s">
        <v>6</v>
      </c>
      <c r="C101" s="25">
        <v>20000.0</v>
      </c>
      <c r="D101" s="23"/>
      <c r="E101" s="31">
        <f t="shared" si="1"/>
        <v>114500</v>
      </c>
      <c r="F101" s="49" t="s">
        <v>249</v>
      </c>
    </row>
    <row r="102" ht="15.75" customHeight="1">
      <c r="A102" s="50">
        <v>46079.0</v>
      </c>
      <c r="B102" s="56" t="s">
        <v>10</v>
      </c>
      <c r="C102" s="23"/>
      <c r="D102" s="25">
        <v>20000.0</v>
      </c>
      <c r="E102" s="31">
        <f t="shared" si="1"/>
        <v>94500</v>
      </c>
      <c r="F102" s="48"/>
    </row>
    <row r="103" ht="15.75" customHeight="1">
      <c r="A103" s="50">
        <v>46082.0</v>
      </c>
      <c r="B103" s="46" t="s">
        <v>6</v>
      </c>
      <c r="C103" s="25">
        <v>40000.0</v>
      </c>
      <c r="D103" s="23"/>
      <c r="E103" s="31">
        <f t="shared" si="1"/>
        <v>134500</v>
      </c>
      <c r="F103" s="49" t="s">
        <v>256</v>
      </c>
    </row>
    <row r="104" ht="15.75" customHeight="1">
      <c r="A104" s="50">
        <v>46055.0</v>
      </c>
      <c r="B104" s="56" t="s">
        <v>10</v>
      </c>
      <c r="C104" s="23"/>
      <c r="D104" s="25">
        <v>35000.0</v>
      </c>
      <c r="E104" s="31">
        <f t="shared" si="1"/>
        <v>99500</v>
      </c>
      <c r="F104" s="48"/>
    </row>
    <row r="105" ht="15.75" customHeight="1">
      <c r="A105" s="50">
        <v>46085.0</v>
      </c>
      <c r="B105" s="46" t="s">
        <v>6</v>
      </c>
      <c r="C105" s="25">
        <v>50000.0</v>
      </c>
      <c r="D105" s="23"/>
      <c r="E105" s="31">
        <f t="shared" si="1"/>
        <v>149500</v>
      </c>
      <c r="F105" s="49" t="s">
        <v>260</v>
      </c>
    </row>
    <row r="106" ht="15.75" customHeight="1">
      <c r="A106" s="50">
        <v>46089.0</v>
      </c>
      <c r="B106" s="46" t="s">
        <v>6</v>
      </c>
      <c r="C106" s="25">
        <v>60000.0</v>
      </c>
      <c r="D106" s="23"/>
      <c r="E106" s="31">
        <f t="shared" si="1"/>
        <v>209500</v>
      </c>
      <c r="F106" s="49" t="s">
        <v>265</v>
      </c>
    </row>
    <row r="107" ht="15.75" customHeight="1">
      <c r="A107" s="50">
        <v>46089.0</v>
      </c>
      <c r="B107" s="56" t="s">
        <v>10</v>
      </c>
      <c r="C107" s="23"/>
      <c r="D107" s="25">
        <v>40000.0</v>
      </c>
      <c r="E107" s="31">
        <f t="shared" si="1"/>
        <v>169500</v>
      </c>
      <c r="F107" s="48"/>
    </row>
    <row r="108" ht="15.75" customHeight="1">
      <c r="A108" s="50">
        <v>46090.0</v>
      </c>
      <c r="B108" s="46" t="s">
        <v>6</v>
      </c>
      <c r="C108" s="25">
        <v>50000.0</v>
      </c>
      <c r="D108" s="23"/>
      <c r="E108" s="31">
        <f t="shared" si="1"/>
        <v>219500</v>
      </c>
      <c r="F108" s="49" t="s">
        <v>269</v>
      </c>
    </row>
    <row r="109" ht="15.75" customHeight="1">
      <c r="A109" s="50">
        <v>46091.0</v>
      </c>
      <c r="B109" s="56" t="s">
        <v>10</v>
      </c>
      <c r="C109" s="23"/>
      <c r="D109" s="25">
        <v>30000.0</v>
      </c>
      <c r="E109" s="31">
        <f t="shared" si="1"/>
        <v>189500</v>
      </c>
      <c r="F109" s="48"/>
    </row>
    <row r="110" ht="15.75" customHeight="1">
      <c r="A110" s="50">
        <v>46091.0</v>
      </c>
      <c r="B110" s="46" t="s">
        <v>6</v>
      </c>
      <c r="C110" s="25">
        <v>35000.0</v>
      </c>
      <c r="D110" s="23"/>
      <c r="E110" s="31">
        <f t="shared" si="1"/>
        <v>224500</v>
      </c>
      <c r="F110" s="49" t="s">
        <v>271</v>
      </c>
    </row>
    <row r="111" ht="15.75" customHeight="1">
      <c r="A111" s="50">
        <v>46092.0</v>
      </c>
      <c r="B111" s="56" t="s">
        <v>10</v>
      </c>
      <c r="C111" s="23"/>
      <c r="D111" s="25">
        <v>40000.0</v>
      </c>
      <c r="E111" s="31">
        <f t="shared" si="1"/>
        <v>184500</v>
      </c>
      <c r="F111" s="48"/>
    </row>
    <row r="112" ht="15.75" customHeight="1">
      <c r="A112" s="50">
        <v>46092.0</v>
      </c>
      <c r="B112" s="56" t="s">
        <v>10</v>
      </c>
      <c r="C112" s="23"/>
      <c r="D112" s="25">
        <v>50000.0</v>
      </c>
      <c r="E112" s="31">
        <f t="shared" si="1"/>
        <v>134500</v>
      </c>
      <c r="F112" s="48"/>
    </row>
    <row r="113" ht="15.75" customHeight="1">
      <c r="A113" s="50">
        <v>46098.0</v>
      </c>
      <c r="B113" s="56" t="s">
        <v>10</v>
      </c>
      <c r="C113" s="25"/>
      <c r="D113" s="25">
        <v>60000.0</v>
      </c>
      <c r="E113" s="31">
        <f t="shared" si="1"/>
        <v>74500</v>
      </c>
      <c r="F113" s="49"/>
    </row>
    <row r="114" ht="15.75" customHeight="1">
      <c r="A114" s="50">
        <v>46098.0</v>
      </c>
      <c r="B114" s="56" t="s">
        <v>10</v>
      </c>
      <c r="C114" s="23"/>
      <c r="D114" s="25">
        <v>50000.0</v>
      </c>
      <c r="E114" s="31">
        <f t="shared" si="1"/>
        <v>24500</v>
      </c>
      <c r="F114" s="48"/>
    </row>
    <row r="115" ht="15.75" customHeight="1">
      <c r="A115" s="50">
        <v>46098.0</v>
      </c>
      <c r="B115" s="56" t="s">
        <v>10</v>
      </c>
      <c r="C115" s="23"/>
      <c r="D115" s="25">
        <v>35000.0</v>
      </c>
      <c r="E115" s="31">
        <f t="shared" si="1"/>
        <v>-10500</v>
      </c>
      <c r="F115" s="48"/>
    </row>
    <row r="116" ht="15.75" customHeight="1">
      <c r="A116" s="50">
        <v>46098.0</v>
      </c>
      <c r="B116" s="46" t="s">
        <v>6</v>
      </c>
      <c r="C116" s="71">
        <v>35000.0</v>
      </c>
      <c r="D116" s="73"/>
      <c r="E116" s="31">
        <f t="shared" si="1"/>
        <v>24500</v>
      </c>
      <c r="F116" s="49" t="s">
        <v>282</v>
      </c>
    </row>
    <row r="117" ht="15.75" customHeight="1">
      <c r="A117" s="50">
        <v>46104.0</v>
      </c>
      <c r="B117" s="46" t="s">
        <v>6</v>
      </c>
      <c r="C117" s="71">
        <v>45000.0</v>
      </c>
      <c r="D117" s="73"/>
      <c r="E117" s="31">
        <f t="shared" si="1"/>
        <v>69500</v>
      </c>
      <c r="F117" s="49" t="s">
        <v>283</v>
      </c>
    </row>
    <row r="118" ht="15.75" customHeight="1">
      <c r="A118" s="50">
        <v>46107.0</v>
      </c>
      <c r="B118" s="46" t="s">
        <v>6</v>
      </c>
      <c r="C118" s="71">
        <v>110000.0</v>
      </c>
      <c r="D118" s="73"/>
      <c r="E118" s="31">
        <f t="shared" si="1"/>
        <v>179500</v>
      </c>
      <c r="F118" s="49" t="s">
        <v>286</v>
      </c>
    </row>
    <row r="119" ht="15.75" customHeight="1">
      <c r="A119" s="50">
        <v>46110.0</v>
      </c>
      <c r="B119" s="46" t="s">
        <v>6</v>
      </c>
      <c r="C119" s="71">
        <v>60000.0</v>
      </c>
      <c r="D119" s="73"/>
      <c r="E119" s="31">
        <f t="shared" si="1"/>
        <v>239500</v>
      </c>
      <c r="F119" s="49" t="s">
        <v>289</v>
      </c>
    </row>
    <row r="120" ht="15.75" customHeight="1">
      <c r="A120" s="50">
        <v>46113.0</v>
      </c>
      <c r="B120" s="74" t="s">
        <v>6</v>
      </c>
      <c r="C120" s="71">
        <v>5000.0</v>
      </c>
      <c r="D120" s="73"/>
      <c r="E120" s="31">
        <f t="shared" si="1"/>
        <v>244500</v>
      </c>
      <c r="F120" s="49" t="s">
        <v>292</v>
      </c>
    </row>
    <row r="121" ht="15.75" customHeight="1">
      <c r="A121" s="50">
        <v>46114.0</v>
      </c>
      <c r="B121" s="74" t="s">
        <v>6</v>
      </c>
      <c r="C121" s="71">
        <v>75000.0</v>
      </c>
      <c r="D121" s="73"/>
      <c r="E121" s="31">
        <f t="shared" si="1"/>
        <v>319500</v>
      </c>
      <c r="F121" s="49" t="s">
        <v>294</v>
      </c>
      <c r="G121" s="75">
        <f>C116+C117+C118+C120+C123</f>
        <v>220000</v>
      </c>
    </row>
    <row r="122" ht="15.75" customHeight="1">
      <c r="A122" s="50">
        <v>46116.0</v>
      </c>
      <c r="B122" s="74" t="s">
        <v>6</v>
      </c>
      <c r="C122" s="71">
        <v>75000.0</v>
      </c>
      <c r="D122" s="73"/>
      <c r="E122" s="31">
        <f t="shared" si="1"/>
        <v>394500</v>
      </c>
      <c r="F122" s="49" t="s">
        <v>297</v>
      </c>
    </row>
    <row r="123" ht="15.75" customHeight="1">
      <c r="A123" s="50">
        <v>46118.0</v>
      </c>
      <c r="B123" s="74" t="s">
        <v>6</v>
      </c>
      <c r="C123" s="71">
        <v>25000.0</v>
      </c>
      <c r="D123" s="73"/>
      <c r="E123" s="31">
        <f t="shared" si="1"/>
        <v>419500</v>
      </c>
      <c r="F123" s="49" t="s">
        <v>299</v>
      </c>
    </row>
    <row r="124" ht="15.75" customHeight="1">
      <c r="A124" s="50">
        <v>46119.0</v>
      </c>
      <c r="B124" s="35" t="s">
        <v>10</v>
      </c>
      <c r="C124" s="73"/>
      <c r="D124" s="77">
        <v>190000.0</v>
      </c>
      <c r="E124" s="31">
        <f t="shared" si="1"/>
        <v>229500</v>
      </c>
      <c r="F124" s="48"/>
    </row>
    <row r="125" ht="15.75" customHeight="1">
      <c r="A125" s="78"/>
      <c r="B125" s="35"/>
      <c r="C125" s="71"/>
      <c r="D125" s="71">
        <v>60000.0</v>
      </c>
      <c r="E125" s="31">
        <f t="shared" si="1"/>
        <v>169500</v>
      </c>
      <c r="F125" s="49"/>
    </row>
    <row r="126" ht="15.75" customHeight="1">
      <c r="A126" s="78"/>
      <c r="B126" s="35" t="s">
        <v>10</v>
      </c>
      <c r="C126" s="71"/>
      <c r="D126" s="71">
        <v>75000.0</v>
      </c>
      <c r="E126" s="31">
        <f t="shared" si="1"/>
        <v>94500</v>
      </c>
      <c r="F126" s="49"/>
    </row>
    <row r="127" ht="15.75" customHeight="1">
      <c r="A127" s="78"/>
      <c r="B127" s="35" t="s">
        <v>6</v>
      </c>
      <c r="C127" s="71">
        <v>5000.0</v>
      </c>
      <c r="D127" s="71"/>
      <c r="E127" s="31">
        <f t="shared" si="1"/>
        <v>99500</v>
      </c>
      <c r="F127" s="49" t="s">
        <v>307</v>
      </c>
    </row>
    <row r="128" ht="15.75" customHeight="1">
      <c r="A128" s="79">
        <v>46121.0</v>
      </c>
      <c r="B128" s="35" t="s">
        <v>10</v>
      </c>
      <c r="C128" s="80"/>
      <c r="D128" s="71">
        <v>75000.0</v>
      </c>
      <c r="E128" s="31">
        <f t="shared" si="1"/>
        <v>24500</v>
      </c>
      <c r="F128" s="48"/>
    </row>
    <row r="129" ht="15.75" customHeight="1">
      <c r="A129" s="79">
        <v>46124.0</v>
      </c>
      <c r="B129" s="35" t="s">
        <v>6</v>
      </c>
      <c r="C129" s="71">
        <v>45000.0</v>
      </c>
      <c r="D129" s="73"/>
      <c r="E129" s="31">
        <f t="shared" si="1"/>
        <v>69500</v>
      </c>
      <c r="F129" s="49" t="s">
        <v>311</v>
      </c>
    </row>
    <row r="130" ht="15.75" customHeight="1">
      <c r="A130" s="79">
        <v>46127.0</v>
      </c>
      <c r="B130" s="35" t="s">
        <v>6</v>
      </c>
      <c r="C130" s="71">
        <v>25000.0</v>
      </c>
      <c r="D130" s="73"/>
      <c r="E130" s="31">
        <f t="shared" si="1"/>
        <v>94500</v>
      </c>
      <c r="F130" s="49" t="s">
        <v>312</v>
      </c>
      <c r="G130" s="35" t="s">
        <v>313</v>
      </c>
    </row>
    <row r="131" ht="15.75" customHeight="1">
      <c r="A131" s="79">
        <v>46127.0</v>
      </c>
      <c r="B131" s="35" t="s">
        <v>6</v>
      </c>
      <c r="C131" s="71">
        <v>40000.0</v>
      </c>
      <c r="D131" s="73"/>
      <c r="E131" s="31">
        <f t="shared" si="1"/>
        <v>134500</v>
      </c>
      <c r="F131" s="49" t="s">
        <v>315</v>
      </c>
      <c r="G131" s="35" t="s">
        <v>313</v>
      </c>
    </row>
    <row r="132" ht="15.75" customHeight="1">
      <c r="A132" s="79">
        <v>46128.0</v>
      </c>
      <c r="B132" s="35" t="s">
        <v>6</v>
      </c>
      <c r="C132" s="71">
        <v>40000.0</v>
      </c>
      <c r="D132" s="73"/>
      <c r="E132" s="31">
        <f t="shared" si="1"/>
        <v>174500</v>
      </c>
      <c r="F132" s="49" t="s">
        <v>316</v>
      </c>
    </row>
    <row r="133" ht="15.75" customHeight="1">
      <c r="A133" s="79">
        <v>46131.0</v>
      </c>
      <c r="B133" s="35" t="s">
        <v>10</v>
      </c>
      <c r="C133" s="71"/>
      <c r="D133" s="71">
        <v>45000.0</v>
      </c>
      <c r="E133" s="31">
        <f t="shared" si="1"/>
        <v>129500</v>
      </c>
      <c r="F133" s="49"/>
    </row>
    <row r="134" ht="15.75" customHeight="1">
      <c r="A134" s="79">
        <v>46132.0</v>
      </c>
      <c r="B134" s="35" t="s">
        <v>6</v>
      </c>
      <c r="C134" s="71">
        <v>24000.0</v>
      </c>
      <c r="D134" s="73"/>
      <c r="E134" s="31">
        <f t="shared" si="1"/>
        <v>153500</v>
      </c>
      <c r="F134" s="49" t="s">
        <v>319</v>
      </c>
    </row>
    <row r="135" ht="15.75" customHeight="1">
      <c r="A135" s="79">
        <v>46133.0</v>
      </c>
      <c r="B135" s="35" t="s">
        <v>6</v>
      </c>
      <c r="C135" s="71">
        <v>58500.0</v>
      </c>
      <c r="D135" s="73"/>
      <c r="E135" s="31">
        <f t="shared" si="1"/>
        <v>212000</v>
      </c>
      <c r="F135" s="49" t="s">
        <v>321</v>
      </c>
    </row>
    <row r="136" ht="15.75" customHeight="1">
      <c r="A136" s="79"/>
      <c r="B136" s="35"/>
      <c r="C136" s="71"/>
      <c r="D136" s="71">
        <v>65000.0</v>
      </c>
      <c r="E136" s="31">
        <f t="shared" si="1"/>
        <v>147000</v>
      </c>
      <c r="F136" s="49"/>
    </row>
    <row r="137" ht="15.75" customHeight="1">
      <c r="A137" s="79">
        <v>46134.0</v>
      </c>
      <c r="B137" s="35" t="s">
        <v>6</v>
      </c>
      <c r="C137" s="71">
        <v>63000.0</v>
      </c>
      <c r="D137" s="73"/>
      <c r="E137" s="31">
        <f t="shared" si="1"/>
        <v>210000</v>
      </c>
      <c r="F137" s="49" t="s">
        <v>323</v>
      </c>
    </row>
    <row r="138" ht="15.75" customHeight="1">
      <c r="A138" s="79">
        <v>46138.0</v>
      </c>
      <c r="B138" s="35" t="s">
        <v>10</v>
      </c>
      <c r="C138" s="73"/>
      <c r="D138" s="71">
        <v>40000.0</v>
      </c>
      <c r="E138" s="31">
        <f t="shared" si="1"/>
        <v>170000</v>
      </c>
      <c r="F138" s="48"/>
    </row>
    <row r="139" ht="15.75" customHeight="1">
      <c r="A139" s="79">
        <v>46141.0</v>
      </c>
      <c r="B139" s="35" t="s">
        <v>6</v>
      </c>
      <c r="C139" s="25">
        <v>102000.0</v>
      </c>
      <c r="D139" s="23"/>
      <c r="E139" s="31">
        <f t="shared" si="1"/>
        <v>272000</v>
      </c>
      <c r="F139" s="49" t="s">
        <v>326</v>
      </c>
    </row>
    <row r="140" ht="15.75" customHeight="1">
      <c r="B140" s="35" t="s">
        <v>10</v>
      </c>
      <c r="D140" s="82">
        <v>145500.0</v>
      </c>
      <c r="E140" s="31">
        <f t="shared" si="1"/>
        <v>126500</v>
      </c>
    </row>
    <row r="141" ht="15.75" customHeight="1">
      <c r="A141" s="83" t="s">
        <v>327</v>
      </c>
      <c r="B141" s="35" t="s">
        <v>6</v>
      </c>
      <c r="C141" s="25">
        <v>59000.0</v>
      </c>
      <c r="D141" s="84"/>
      <c r="E141" s="31">
        <f t="shared" si="1"/>
        <v>185500</v>
      </c>
      <c r="F141" s="49" t="s">
        <v>329</v>
      </c>
    </row>
    <row r="142" ht="15.75" customHeight="1">
      <c r="A142" s="79">
        <v>46146.0</v>
      </c>
      <c r="B142" s="35" t="s">
        <v>6</v>
      </c>
      <c r="C142" s="25">
        <v>10000.0</v>
      </c>
      <c r="D142" s="84"/>
      <c r="E142" s="31">
        <f t="shared" si="1"/>
        <v>195500</v>
      </c>
      <c r="F142" s="49" t="s">
        <v>330</v>
      </c>
    </row>
    <row r="143" ht="15.75" customHeight="1">
      <c r="A143" s="79">
        <v>46147.0</v>
      </c>
      <c r="B143" s="35" t="s">
        <v>6</v>
      </c>
      <c r="C143" s="25">
        <v>65000.0</v>
      </c>
      <c r="D143" s="84"/>
      <c r="E143" s="31">
        <f t="shared" si="1"/>
        <v>260500</v>
      </c>
      <c r="F143" s="49" t="s">
        <v>332</v>
      </c>
    </row>
    <row r="144" ht="15.75" customHeight="1">
      <c r="A144" s="79">
        <v>46148.0</v>
      </c>
      <c r="B144" s="35" t="s">
        <v>6</v>
      </c>
      <c r="C144" s="25">
        <v>15000.0</v>
      </c>
      <c r="D144" s="84"/>
      <c r="E144" s="31">
        <f t="shared" si="1"/>
        <v>275500</v>
      </c>
      <c r="F144" s="49" t="s">
        <v>334</v>
      </c>
    </row>
    <row r="145" ht="15.75" customHeight="1">
      <c r="A145" s="79">
        <v>46149.0</v>
      </c>
      <c r="B145" s="35" t="s">
        <v>6</v>
      </c>
      <c r="C145" s="25">
        <v>20000.0</v>
      </c>
      <c r="D145" s="84"/>
      <c r="E145" s="31">
        <f t="shared" si="1"/>
        <v>295500</v>
      </c>
      <c r="F145" s="49" t="s">
        <v>335</v>
      </c>
    </row>
    <row r="146" ht="15.75" customHeight="1">
      <c r="A146" s="79">
        <v>46149.0</v>
      </c>
      <c r="B146" s="35" t="s">
        <v>10</v>
      </c>
      <c r="C146" s="23"/>
      <c r="D146" s="85">
        <v>102000.0</v>
      </c>
      <c r="E146" s="31">
        <f t="shared" si="1"/>
        <v>193500</v>
      </c>
      <c r="F146" s="48"/>
    </row>
    <row r="147" ht="15.75" customHeight="1">
      <c r="A147" s="79">
        <v>46151.0</v>
      </c>
      <c r="B147" s="35" t="s">
        <v>6</v>
      </c>
      <c r="C147" s="25">
        <v>25000.0</v>
      </c>
      <c r="D147" s="84"/>
      <c r="E147" s="31">
        <f t="shared" si="1"/>
        <v>218500</v>
      </c>
      <c r="F147" s="49" t="s">
        <v>338</v>
      </c>
    </row>
    <row r="148" ht="15.75" customHeight="1">
      <c r="A148" s="78"/>
      <c r="B148" s="35" t="s">
        <v>6</v>
      </c>
      <c r="C148" s="25">
        <v>58000.0</v>
      </c>
      <c r="D148" s="84"/>
      <c r="E148" s="31">
        <f t="shared" si="1"/>
        <v>276500</v>
      </c>
      <c r="F148" s="49" t="s">
        <v>339</v>
      </c>
    </row>
    <row r="149" ht="15.75" customHeight="1">
      <c r="A149" s="79">
        <v>46153.0</v>
      </c>
      <c r="B149" s="35" t="s">
        <v>10</v>
      </c>
      <c r="C149" s="23"/>
      <c r="D149" s="85">
        <v>90000.0</v>
      </c>
      <c r="E149" s="31">
        <f t="shared" si="1"/>
        <v>186500</v>
      </c>
      <c r="F149" s="48"/>
    </row>
    <row r="150" ht="15.75" customHeight="1">
      <c r="A150" s="79">
        <v>46153.0</v>
      </c>
      <c r="B150" s="35" t="s">
        <v>6</v>
      </c>
      <c r="C150" s="25">
        <v>39000.0</v>
      </c>
      <c r="D150" s="84"/>
      <c r="E150" s="31">
        <f t="shared" si="1"/>
        <v>225500</v>
      </c>
      <c r="F150" s="49" t="s">
        <v>340</v>
      </c>
    </row>
    <row r="151" ht="15.75" customHeight="1">
      <c r="A151" s="79">
        <v>46154.0</v>
      </c>
      <c r="B151" s="35" t="s">
        <v>6</v>
      </c>
      <c r="C151" s="25">
        <v>5000.0</v>
      </c>
      <c r="D151" s="84"/>
      <c r="E151" s="31">
        <f t="shared" si="1"/>
        <v>230500</v>
      </c>
      <c r="F151" s="49" t="s">
        <v>342</v>
      </c>
    </row>
    <row r="152" ht="15.75" customHeight="1">
      <c r="A152" s="79">
        <v>46159.0</v>
      </c>
      <c r="B152" s="35" t="s">
        <v>10</v>
      </c>
      <c r="C152" s="23"/>
      <c r="D152" s="85">
        <v>108000.0</v>
      </c>
      <c r="E152" s="31">
        <f t="shared" si="1"/>
        <v>122500</v>
      </c>
      <c r="F152" s="48"/>
    </row>
    <row r="153" ht="15.75" customHeight="1">
      <c r="A153" s="79">
        <v>46159.0</v>
      </c>
      <c r="B153" s="35" t="s">
        <v>10</v>
      </c>
      <c r="C153" s="23"/>
      <c r="D153" s="85">
        <v>39000.0</v>
      </c>
      <c r="E153" s="31">
        <f t="shared" si="1"/>
        <v>83500</v>
      </c>
      <c r="F153" s="48"/>
    </row>
    <row r="154" ht="15.75" customHeight="1">
      <c r="A154" s="79">
        <v>46182.0</v>
      </c>
      <c r="B154" s="35" t="s">
        <v>10</v>
      </c>
      <c r="C154" s="23"/>
      <c r="D154" s="85">
        <v>5000.0</v>
      </c>
      <c r="E154" s="31">
        <f t="shared" si="1"/>
        <v>78500</v>
      </c>
      <c r="F154" s="48"/>
    </row>
    <row r="155" ht="15.75" customHeight="1">
      <c r="A155" s="79">
        <v>46194.0</v>
      </c>
      <c r="B155" s="35" t="s">
        <v>6</v>
      </c>
      <c r="C155" s="25">
        <v>24000.0</v>
      </c>
      <c r="D155" s="84"/>
      <c r="E155" s="31">
        <f t="shared" si="1"/>
        <v>102500</v>
      </c>
      <c r="F155" s="49" t="s">
        <v>346</v>
      </c>
    </row>
    <row r="156" ht="15.75" customHeight="1">
      <c r="A156" s="78"/>
      <c r="C156" s="23"/>
      <c r="D156" s="84"/>
      <c r="E156" s="23"/>
      <c r="F156" s="48"/>
    </row>
    <row r="157" ht="15.75" customHeight="1">
      <c r="A157" s="78"/>
      <c r="C157" s="23"/>
      <c r="D157" s="84"/>
      <c r="E157" s="23"/>
      <c r="F157" s="48"/>
    </row>
    <row r="158" ht="15.75" customHeight="1">
      <c r="A158" s="78"/>
      <c r="C158" s="23"/>
      <c r="D158" s="84"/>
      <c r="E158" s="23"/>
      <c r="F158" s="48"/>
    </row>
    <row r="159" ht="15.75" customHeight="1">
      <c r="A159" s="78"/>
      <c r="C159" s="23"/>
      <c r="D159" s="84"/>
      <c r="E159" s="23"/>
      <c r="F159" s="48"/>
    </row>
    <row r="160" ht="15.75" customHeight="1">
      <c r="A160" s="78"/>
      <c r="C160" s="23"/>
      <c r="D160" s="84"/>
      <c r="E160" s="23"/>
      <c r="F160" s="48"/>
    </row>
    <row r="161" ht="15.75" customHeight="1">
      <c r="A161" s="78"/>
      <c r="C161" s="23"/>
      <c r="D161" s="84"/>
      <c r="E161" s="23"/>
      <c r="F161" s="48"/>
    </row>
    <row r="162" ht="15.75" customHeight="1">
      <c r="A162" s="78"/>
      <c r="C162" s="23"/>
      <c r="D162" s="84"/>
      <c r="E162" s="23"/>
      <c r="F162" s="48"/>
    </row>
    <row r="163" ht="15.75" customHeight="1">
      <c r="A163" s="78"/>
      <c r="C163" s="23"/>
      <c r="D163" s="23"/>
      <c r="E163" s="23"/>
      <c r="F163" s="48"/>
    </row>
    <row r="164" ht="15.75" customHeight="1">
      <c r="A164" s="78"/>
      <c r="C164" s="23"/>
      <c r="D164" s="23"/>
      <c r="E164" s="23"/>
      <c r="F164" s="48"/>
    </row>
    <row r="165" ht="15.75" customHeight="1">
      <c r="A165" s="78"/>
      <c r="C165" s="23"/>
      <c r="D165" s="23"/>
      <c r="E165" s="23"/>
      <c r="F165" s="48"/>
    </row>
    <row r="166" ht="15.75" customHeight="1">
      <c r="A166" s="78"/>
      <c r="C166" s="23"/>
      <c r="D166" s="23"/>
      <c r="E166" s="23"/>
      <c r="F166" s="48"/>
    </row>
    <row r="167" ht="15.75" customHeight="1">
      <c r="A167" s="78"/>
      <c r="C167" s="23"/>
      <c r="D167" s="23"/>
      <c r="E167" s="23"/>
      <c r="F167" s="48"/>
    </row>
    <row r="168" ht="15.75" customHeight="1">
      <c r="A168" s="78"/>
      <c r="C168" s="23"/>
      <c r="D168" s="23"/>
      <c r="E168" s="23"/>
      <c r="F168" s="48"/>
    </row>
    <row r="169" ht="15.75" customHeight="1">
      <c r="A169" s="78"/>
      <c r="C169" s="23"/>
      <c r="D169" s="23"/>
      <c r="E169" s="23"/>
      <c r="F169" s="48"/>
    </row>
    <row r="170" ht="15.75" customHeight="1">
      <c r="A170" s="78"/>
      <c r="C170" s="23"/>
      <c r="D170" s="23"/>
      <c r="E170" s="23"/>
      <c r="F170" s="48"/>
    </row>
    <row r="171" ht="15.75" customHeight="1">
      <c r="A171" s="78"/>
      <c r="C171" s="23"/>
      <c r="D171" s="23"/>
      <c r="E171" s="23"/>
      <c r="F171" s="48"/>
    </row>
    <row r="172" ht="15.75" customHeight="1">
      <c r="A172" s="78"/>
      <c r="C172" s="23"/>
      <c r="D172" s="23"/>
      <c r="E172" s="23"/>
      <c r="F172" s="48"/>
    </row>
    <row r="173" ht="15.75" customHeight="1">
      <c r="A173" s="78"/>
      <c r="C173" s="23"/>
      <c r="D173" s="23"/>
      <c r="E173" s="23"/>
      <c r="F173" s="48"/>
    </row>
    <row r="174" ht="15.75" customHeight="1">
      <c r="A174" s="78"/>
      <c r="C174" s="23"/>
      <c r="D174" s="23"/>
      <c r="E174" s="23"/>
      <c r="F174" s="48"/>
    </row>
    <row r="175" ht="15.75" customHeight="1">
      <c r="A175" s="78"/>
      <c r="C175" s="23"/>
      <c r="D175" s="23"/>
      <c r="E175" s="23"/>
      <c r="F175" s="48"/>
    </row>
    <row r="176" ht="15.75" customHeight="1">
      <c r="A176" s="78"/>
      <c r="C176" s="23"/>
      <c r="D176" s="23"/>
      <c r="E176" s="23"/>
      <c r="F176" s="48"/>
    </row>
    <row r="177" ht="15.75" customHeight="1">
      <c r="A177" s="78"/>
      <c r="C177" s="23"/>
      <c r="D177" s="23"/>
      <c r="E177" s="23"/>
      <c r="F177" s="48"/>
    </row>
    <row r="178" ht="15.75" customHeight="1">
      <c r="A178" s="78"/>
      <c r="C178" s="23"/>
      <c r="D178" s="23"/>
      <c r="E178" s="23"/>
      <c r="F178" s="48"/>
    </row>
    <row r="179" ht="15.75" customHeight="1">
      <c r="A179" s="78"/>
      <c r="C179" s="23"/>
      <c r="D179" s="23"/>
      <c r="E179" s="23"/>
      <c r="F179" s="48"/>
    </row>
    <row r="180" ht="15.75" customHeight="1">
      <c r="A180" s="78"/>
      <c r="C180" s="23"/>
      <c r="D180" s="23"/>
      <c r="E180" s="23"/>
      <c r="F180" s="48"/>
    </row>
    <row r="181" ht="15.75" customHeight="1">
      <c r="A181" s="78"/>
      <c r="C181" s="23"/>
      <c r="D181" s="23"/>
      <c r="E181" s="23"/>
      <c r="F181" s="48"/>
    </row>
    <row r="182" ht="15.75" customHeight="1">
      <c r="A182" s="78"/>
      <c r="C182" s="23"/>
      <c r="D182" s="23"/>
      <c r="E182" s="23"/>
      <c r="F182" s="48"/>
    </row>
    <row r="183" ht="15.75" customHeight="1">
      <c r="A183" s="78"/>
      <c r="C183" s="23"/>
      <c r="D183" s="23"/>
      <c r="E183" s="23"/>
      <c r="F183" s="48"/>
    </row>
    <row r="184" ht="15.75" customHeight="1">
      <c r="A184" s="78"/>
      <c r="C184" s="23"/>
      <c r="D184" s="23"/>
      <c r="E184" s="23"/>
      <c r="F184" s="48"/>
    </row>
    <row r="185" ht="15.75" customHeight="1">
      <c r="A185" s="78"/>
      <c r="C185" s="23"/>
      <c r="D185" s="23"/>
      <c r="E185" s="23"/>
      <c r="F185" s="48"/>
    </row>
    <row r="186" ht="15.75" customHeight="1">
      <c r="A186" s="78"/>
      <c r="C186" s="23"/>
      <c r="D186" s="23"/>
      <c r="E186" s="23"/>
      <c r="F186" s="48"/>
    </row>
    <row r="187" ht="15.75" customHeight="1">
      <c r="A187" s="78"/>
      <c r="C187" s="23"/>
      <c r="D187" s="23"/>
      <c r="E187" s="23"/>
      <c r="F187" s="48"/>
    </row>
    <row r="188" ht="15.75" customHeight="1">
      <c r="A188" s="78"/>
      <c r="C188" s="23"/>
      <c r="D188" s="23"/>
      <c r="E188" s="23"/>
      <c r="F188" s="48"/>
    </row>
    <row r="189" ht="15.75" customHeight="1">
      <c r="A189" s="78"/>
      <c r="C189" s="23"/>
      <c r="D189" s="23"/>
      <c r="E189" s="23"/>
      <c r="F189" s="48"/>
    </row>
    <row r="190" ht="15.75" customHeight="1">
      <c r="A190" s="78"/>
      <c r="C190" s="23"/>
      <c r="D190" s="23"/>
      <c r="E190" s="23"/>
      <c r="F190" s="48"/>
    </row>
    <row r="191" ht="15.75" customHeight="1">
      <c r="A191" s="78"/>
      <c r="C191" s="23"/>
      <c r="D191" s="23"/>
      <c r="E191" s="23"/>
      <c r="F191" s="48"/>
    </row>
    <row r="192" ht="15.75" customHeight="1">
      <c r="A192" s="78"/>
      <c r="C192" s="23"/>
      <c r="D192" s="23"/>
      <c r="E192" s="23"/>
      <c r="F192" s="48"/>
    </row>
    <row r="193" ht="15.75" customHeight="1">
      <c r="A193" s="78"/>
      <c r="F193" s="48"/>
    </row>
    <row r="194" ht="15.75" customHeight="1">
      <c r="A194" s="78"/>
      <c r="F194" s="48"/>
    </row>
    <row r="195" ht="15.75" customHeight="1">
      <c r="A195" s="78"/>
      <c r="F195" s="48"/>
    </row>
    <row r="196" ht="15.75" customHeight="1">
      <c r="A196" s="78"/>
      <c r="F196" s="48"/>
    </row>
    <row r="197" ht="15.75" customHeight="1">
      <c r="F197" s="48"/>
    </row>
    <row r="198" ht="15.75" customHeight="1">
      <c r="F198" s="48"/>
    </row>
    <row r="199" ht="15.75" customHeight="1">
      <c r="F199" s="48"/>
    </row>
    <row r="200" ht="15.75" customHeight="1">
      <c r="F200" s="48"/>
    </row>
    <row r="201" ht="15.75" customHeight="1">
      <c r="F201" s="48"/>
    </row>
    <row r="202" ht="15.75" customHeight="1">
      <c r="F202" s="48"/>
    </row>
    <row r="203" ht="15.75" customHeight="1">
      <c r="F203" s="48"/>
    </row>
    <row r="204" ht="15.75" customHeight="1">
      <c r="F204" s="48"/>
    </row>
    <row r="205" ht="15.75" customHeight="1">
      <c r="F205" s="48"/>
    </row>
    <row r="206" ht="15.75" customHeight="1">
      <c r="F206" s="48"/>
    </row>
    <row r="207" ht="15.75" customHeight="1">
      <c r="F207" s="48"/>
    </row>
    <row r="208" ht="15.75" customHeight="1">
      <c r="F208" s="48"/>
    </row>
    <row r="209" ht="15.75" customHeight="1">
      <c r="F209" s="48"/>
    </row>
    <row r="210" ht="15.75" customHeight="1">
      <c r="F210" s="48"/>
    </row>
    <row r="211" ht="15.75" customHeight="1">
      <c r="F211" s="48"/>
    </row>
    <row r="212" ht="15.75" customHeight="1">
      <c r="F212" s="48"/>
    </row>
    <row r="213" ht="15.75" customHeight="1">
      <c r="F213" s="48"/>
    </row>
    <row r="214" ht="15.75" customHeight="1">
      <c r="F214" s="48"/>
    </row>
    <row r="215" ht="15.75" customHeight="1">
      <c r="F215" s="48"/>
    </row>
    <row r="216" ht="15.75" customHeight="1">
      <c r="F216" s="48"/>
    </row>
    <row r="217" ht="15.75" customHeight="1">
      <c r="F217" s="48"/>
    </row>
    <row r="218" ht="15.75" customHeight="1">
      <c r="F218" s="48"/>
    </row>
    <row r="219" ht="15.75" customHeight="1">
      <c r="F219" s="48"/>
    </row>
    <row r="220" ht="15.75" customHeight="1">
      <c r="F220" s="48"/>
    </row>
    <row r="221" ht="15.75" customHeight="1">
      <c r="F221" s="48"/>
    </row>
    <row r="222" ht="15.75" customHeight="1">
      <c r="F222" s="48"/>
    </row>
    <row r="223" ht="15.75" customHeight="1">
      <c r="F223" s="48"/>
    </row>
    <row r="224" ht="15.75" customHeight="1">
      <c r="F224" s="48"/>
    </row>
    <row r="225" ht="15.75" customHeight="1">
      <c r="F225" s="48"/>
    </row>
    <row r="226" ht="15.75" customHeight="1">
      <c r="F226" s="48"/>
    </row>
    <row r="227" ht="15.75" customHeight="1">
      <c r="F227" s="48"/>
    </row>
    <row r="228" ht="15.75" customHeight="1">
      <c r="F228" s="48"/>
    </row>
    <row r="229" ht="15.75" customHeight="1">
      <c r="F229" s="48"/>
    </row>
    <row r="230" ht="15.75" customHeight="1">
      <c r="F230" s="48"/>
    </row>
    <row r="231" ht="15.75" customHeight="1">
      <c r="F231" s="48"/>
    </row>
    <row r="232" ht="15.75" customHeight="1">
      <c r="F232" s="48"/>
    </row>
    <row r="233" ht="15.75" customHeight="1">
      <c r="F233" s="48"/>
    </row>
    <row r="234" ht="15.75" customHeight="1">
      <c r="F234" s="48"/>
    </row>
    <row r="235" ht="15.75" customHeight="1">
      <c r="F235" s="48"/>
    </row>
    <row r="236" ht="15.75" customHeight="1">
      <c r="F236" s="48"/>
    </row>
    <row r="237" ht="15.75" customHeight="1">
      <c r="F237" s="48"/>
    </row>
    <row r="238" ht="15.75" customHeight="1">
      <c r="F238" s="48"/>
    </row>
    <row r="239" ht="15.75" customHeight="1">
      <c r="F239" s="48"/>
    </row>
    <row r="240" ht="15.75" customHeight="1">
      <c r="F240" s="48"/>
    </row>
    <row r="241" ht="15.75" customHeight="1">
      <c r="F241" s="48"/>
    </row>
    <row r="242" ht="15.75" customHeight="1">
      <c r="F242" s="48"/>
    </row>
    <row r="243" ht="15.75" customHeight="1">
      <c r="F243" s="48"/>
    </row>
    <row r="244" ht="15.75" customHeight="1">
      <c r="F244" s="48"/>
    </row>
    <row r="245" ht="15.75" customHeight="1">
      <c r="F245" s="48"/>
    </row>
    <row r="246" ht="15.75" customHeight="1">
      <c r="F246" s="48"/>
    </row>
    <row r="247" ht="15.75" customHeight="1">
      <c r="F247" s="48"/>
    </row>
    <row r="248" ht="15.75" customHeight="1">
      <c r="F248" s="48"/>
    </row>
    <row r="249" ht="15.75" customHeight="1">
      <c r="F249" s="48"/>
    </row>
    <row r="250" ht="15.75" customHeight="1">
      <c r="F250" s="48"/>
    </row>
    <row r="251" ht="15.75" customHeight="1">
      <c r="F251" s="48"/>
    </row>
    <row r="252" ht="15.75" customHeight="1">
      <c r="F252" s="48"/>
    </row>
    <row r="253" ht="15.75" customHeight="1">
      <c r="F253" s="48"/>
    </row>
    <row r="254" ht="15.75" customHeight="1">
      <c r="F254" s="48"/>
    </row>
    <row r="255" ht="15.75" customHeight="1">
      <c r="F255" s="48"/>
    </row>
    <row r="256" ht="15.75" customHeight="1">
      <c r="F256" s="48"/>
    </row>
    <row r="257" ht="15.75" customHeight="1">
      <c r="F257" s="48"/>
    </row>
    <row r="258" ht="15.75" customHeight="1">
      <c r="F258" s="48"/>
    </row>
    <row r="259" ht="15.75" customHeight="1">
      <c r="F259" s="48"/>
    </row>
    <row r="260" ht="15.75" customHeight="1">
      <c r="F260" s="48"/>
    </row>
    <row r="261" ht="15.75" customHeight="1">
      <c r="F261" s="48"/>
    </row>
    <row r="262" ht="15.75" customHeight="1">
      <c r="F262" s="48"/>
    </row>
    <row r="263" ht="15.75" customHeight="1">
      <c r="F263" s="48"/>
    </row>
    <row r="264" ht="15.75" customHeight="1">
      <c r="F264" s="48"/>
    </row>
    <row r="265" ht="15.75" customHeight="1">
      <c r="F265" s="48"/>
    </row>
    <row r="266" ht="15.75" customHeight="1">
      <c r="F266" s="48"/>
    </row>
    <row r="267" ht="15.75" customHeight="1">
      <c r="F267" s="48"/>
    </row>
    <row r="268" ht="15.75" customHeight="1">
      <c r="F268" s="48"/>
    </row>
    <row r="269" ht="15.75" customHeight="1">
      <c r="F269" s="48"/>
    </row>
    <row r="270" ht="15.75" customHeight="1">
      <c r="F270" s="48"/>
    </row>
    <row r="271" ht="15.75" customHeight="1">
      <c r="F271" s="48"/>
    </row>
    <row r="272" ht="15.75" customHeight="1">
      <c r="F272" s="48"/>
    </row>
    <row r="273" ht="15.75" customHeight="1">
      <c r="F273" s="48"/>
    </row>
    <row r="274" ht="15.75" customHeight="1">
      <c r="F274" s="48"/>
    </row>
    <row r="275" ht="15.75" customHeight="1">
      <c r="F275" s="48"/>
    </row>
    <row r="276" ht="15.75" customHeight="1">
      <c r="F276" s="48"/>
    </row>
    <row r="277" ht="15.75" customHeight="1">
      <c r="F277" s="48"/>
    </row>
    <row r="278" ht="15.75" customHeight="1">
      <c r="F278" s="48"/>
    </row>
    <row r="279" ht="15.75" customHeight="1">
      <c r="F279" s="48"/>
    </row>
    <row r="280" ht="15.75" customHeight="1">
      <c r="F280" s="48"/>
    </row>
    <row r="281" ht="15.75" customHeight="1">
      <c r="F281" s="48"/>
    </row>
    <row r="282" ht="15.75" customHeight="1">
      <c r="F282" s="48"/>
    </row>
    <row r="283" ht="15.75" customHeight="1">
      <c r="F283" s="48"/>
    </row>
    <row r="284" ht="15.75" customHeight="1">
      <c r="F284" s="48"/>
    </row>
    <row r="285" ht="15.75" customHeight="1">
      <c r="F285" s="48"/>
    </row>
    <row r="286" ht="15.75" customHeight="1">
      <c r="F286" s="48"/>
    </row>
    <row r="287" ht="15.75" customHeight="1">
      <c r="F287" s="48"/>
    </row>
    <row r="288" ht="15.75" customHeight="1">
      <c r="F288" s="48"/>
    </row>
    <row r="289" ht="15.75" customHeight="1">
      <c r="F289" s="48"/>
    </row>
    <row r="290" ht="15.75" customHeight="1">
      <c r="F290" s="48"/>
    </row>
    <row r="291" ht="15.75" customHeight="1">
      <c r="F291" s="48"/>
    </row>
    <row r="292" ht="15.75" customHeight="1">
      <c r="F292" s="48"/>
    </row>
    <row r="293" ht="15.75" customHeight="1">
      <c r="F293" s="48"/>
    </row>
    <row r="294" ht="15.75" customHeight="1">
      <c r="F294" s="48"/>
    </row>
    <row r="295" ht="15.75" customHeight="1">
      <c r="F295" s="48"/>
    </row>
    <row r="296" ht="15.75" customHeight="1">
      <c r="F296" s="48"/>
    </row>
    <row r="297" ht="15.75" customHeight="1">
      <c r="F297" s="48"/>
    </row>
    <row r="298" ht="15.75" customHeight="1">
      <c r="F298" s="48"/>
    </row>
    <row r="299" ht="15.75" customHeight="1">
      <c r="F299" s="48"/>
    </row>
    <row r="300" ht="15.75" customHeight="1">
      <c r="F300" s="48"/>
    </row>
    <row r="301" ht="15.75" customHeight="1">
      <c r="F301" s="48"/>
    </row>
    <row r="302" ht="15.75" customHeight="1">
      <c r="F302" s="48"/>
    </row>
    <row r="303" ht="15.75" customHeight="1">
      <c r="F303" s="48"/>
    </row>
    <row r="304" ht="15.75" customHeight="1">
      <c r="F304" s="48"/>
    </row>
    <row r="305" ht="15.75" customHeight="1">
      <c r="F305" s="48"/>
    </row>
    <row r="306" ht="15.75" customHeight="1">
      <c r="F306" s="48"/>
    </row>
    <row r="307" ht="15.75" customHeight="1">
      <c r="F307" s="48"/>
    </row>
    <row r="308" ht="15.75" customHeight="1">
      <c r="F308" s="48"/>
    </row>
    <row r="309" ht="15.75" customHeight="1">
      <c r="F309" s="48"/>
    </row>
    <row r="310" ht="15.75" customHeight="1">
      <c r="F310" s="48"/>
    </row>
    <row r="311" ht="15.75" customHeight="1">
      <c r="F311" s="48"/>
    </row>
    <row r="312" ht="15.75" customHeight="1">
      <c r="F312" s="48"/>
    </row>
    <row r="313" ht="15.75" customHeight="1">
      <c r="F313" s="48"/>
    </row>
    <row r="314" ht="15.75" customHeight="1">
      <c r="F314" s="48"/>
    </row>
    <row r="315" ht="15.75" customHeight="1">
      <c r="F315" s="48"/>
    </row>
    <row r="316" ht="15.75" customHeight="1">
      <c r="F316" s="48"/>
    </row>
    <row r="317" ht="15.75" customHeight="1">
      <c r="F317" s="48"/>
    </row>
    <row r="318" ht="15.75" customHeight="1">
      <c r="F318" s="48"/>
    </row>
    <row r="319" ht="15.75" customHeight="1">
      <c r="F319" s="48"/>
    </row>
    <row r="320" ht="15.75" customHeight="1">
      <c r="F320" s="48"/>
    </row>
    <row r="321" ht="15.75" customHeight="1">
      <c r="F321" s="48"/>
    </row>
    <row r="322" ht="15.75" customHeight="1">
      <c r="F322" s="48"/>
    </row>
    <row r="323" ht="15.75" customHeight="1">
      <c r="F323" s="48"/>
    </row>
    <row r="324" ht="15.75" customHeight="1">
      <c r="F324" s="48"/>
    </row>
    <row r="325" ht="15.75" customHeight="1">
      <c r="F325" s="48"/>
    </row>
    <row r="326" ht="15.75" customHeight="1">
      <c r="F326" s="48"/>
    </row>
    <row r="327" ht="15.75" customHeight="1">
      <c r="F327" s="48"/>
    </row>
    <row r="328" ht="15.75" customHeight="1">
      <c r="F328" s="48"/>
    </row>
    <row r="329" ht="15.75" customHeight="1">
      <c r="F329" s="48"/>
    </row>
    <row r="330" ht="15.75" customHeight="1">
      <c r="F330" s="48"/>
    </row>
    <row r="331" ht="15.75" customHeight="1">
      <c r="F331" s="48"/>
    </row>
    <row r="332" ht="15.75" customHeight="1">
      <c r="F332" s="48"/>
    </row>
    <row r="333" ht="15.75" customHeight="1">
      <c r="F333" s="48"/>
    </row>
    <row r="334" ht="15.75" customHeight="1">
      <c r="F334" s="48"/>
    </row>
    <row r="335" ht="15.75" customHeight="1">
      <c r="F335" s="48"/>
    </row>
    <row r="336" ht="15.75" customHeight="1">
      <c r="F336" s="48"/>
    </row>
    <row r="337" ht="15.75" customHeight="1">
      <c r="F337" s="48"/>
    </row>
    <row r="338" ht="15.75" customHeight="1">
      <c r="F338" s="48"/>
    </row>
    <row r="339" ht="15.75" customHeight="1">
      <c r="F339" s="48"/>
    </row>
    <row r="340" ht="15.75" customHeight="1">
      <c r="F340" s="48"/>
    </row>
    <row r="341" ht="15.75" customHeight="1">
      <c r="F341" s="48"/>
    </row>
    <row r="342" ht="15.75" customHeight="1">
      <c r="F342" s="48"/>
    </row>
    <row r="343" ht="15.75" customHeight="1">
      <c r="F343" s="48"/>
    </row>
    <row r="344" ht="15.75" customHeight="1">
      <c r="F344" s="48"/>
    </row>
    <row r="345" ht="15.75" customHeight="1">
      <c r="F345" s="48"/>
    </row>
    <row r="346" ht="15.75" customHeight="1">
      <c r="F346" s="48"/>
    </row>
    <row r="347" ht="15.75" customHeight="1">
      <c r="F347" s="48"/>
    </row>
    <row r="348" ht="15.75" customHeight="1">
      <c r="F348" s="48"/>
    </row>
    <row r="349" ht="15.75" customHeight="1">
      <c r="F349" s="48"/>
    </row>
    <row r="350" ht="15.75" customHeight="1">
      <c r="F350" s="48"/>
    </row>
    <row r="351" ht="15.75" customHeight="1">
      <c r="F351" s="48"/>
    </row>
    <row r="352" ht="15.75" customHeight="1">
      <c r="F352" s="48"/>
    </row>
    <row r="353" ht="15.75" customHeight="1">
      <c r="F353" s="48"/>
    </row>
    <row r="354" ht="15.75" customHeight="1">
      <c r="F354" s="48"/>
    </row>
    <row r="355" ht="15.75" customHeight="1">
      <c r="F355" s="48"/>
    </row>
    <row r="356" ht="15.75" customHeight="1">
      <c r="F356" s="48"/>
    </row>
    <row r="357" ht="15.75" customHeight="1">
      <c r="F357" s="48"/>
    </row>
    <row r="358" ht="15.75" customHeight="1">
      <c r="F358" s="48"/>
    </row>
    <row r="359" ht="15.75" customHeight="1">
      <c r="F359" s="48"/>
    </row>
    <row r="360" ht="15.75" customHeight="1">
      <c r="F360" s="48"/>
    </row>
    <row r="361" ht="15.75" customHeight="1">
      <c r="F361" s="48"/>
    </row>
    <row r="362" ht="15.75" customHeight="1">
      <c r="F362" s="48"/>
    </row>
    <row r="363" ht="15.75" customHeight="1">
      <c r="F363" s="48"/>
    </row>
    <row r="364" ht="15.75" customHeight="1">
      <c r="F364" s="48"/>
    </row>
    <row r="365" ht="15.75" customHeight="1">
      <c r="F365" s="48"/>
    </row>
    <row r="366" ht="15.75" customHeight="1">
      <c r="F366" s="48"/>
    </row>
    <row r="367" ht="15.75" customHeight="1">
      <c r="F367" s="48"/>
    </row>
    <row r="368" ht="15.75" customHeight="1">
      <c r="F368" s="48"/>
    </row>
    <row r="369" ht="15.75" customHeight="1">
      <c r="F369" s="48"/>
    </row>
    <row r="370" ht="15.75" customHeight="1">
      <c r="F370" s="48"/>
    </row>
    <row r="371" ht="15.75" customHeight="1">
      <c r="F371" s="48"/>
    </row>
    <row r="372" ht="15.75" customHeight="1">
      <c r="F372" s="48"/>
    </row>
    <row r="373" ht="15.75" customHeight="1">
      <c r="F373" s="48"/>
    </row>
    <row r="374" ht="15.75" customHeight="1">
      <c r="F374" s="48"/>
    </row>
    <row r="375" ht="15.75" customHeight="1">
      <c r="F375" s="48"/>
    </row>
    <row r="376" ht="15.75" customHeight="1">
      <c r="F376" s="48"/>
    </row>
    <row r="377" ht="15.75" customHeight="1">
      <c r="F377" s="48"/>
    </row>
    <row r="378" ht="15.75" customHeight="1">
      <c r="F378" s="48"/>
    </row>
    <row r="379" ht="15.75" customHeight="1">
      <c r="F379" s="48"/>
    </row>
    <row r="380" ht="15.75" customHeight="1">
      <c r="F380" s="48"/>
    </row>
    <row r="381" ht="15.75" customHeight="1">
      <c r="F381" s="48"/>
    </row>
    <row r="382" ht="15.75" customHeight="1">
      <c r="F382" s="48"/>
    </row>
    <row r="383" ht="15.75" customHeight="1">
      <c r="F383" s="48"/>
    </row>
    <row r="384" ht="15.75" customHeight="1">
      <c r="F384" s="48"/>
    </row>
    <row r="385" ht="15.75" customHeight="1">
      <c r="F385" s="48"/>
    </row>
    <row r="386" ht="15.75" customHeight="1">
      <c r="F386" s="48"/>
    </row>
    <row r="387" ht="15.75" customHeight="1">
      <c r="F387" s="48"/>
    </row>
    <row r="388" ht="15.75" customHeight="1">
      <c r="F388" s="48"/>
    </row>
    <row r="389" ht="15.75" customHeight="1">
      <c r="F389" s="48"/>
    </row>
    <row r="390" ht="15.75" customHeight="1">
      <c r="F390" s="48"/>
    </row>
    <row r="391" ht="15.75" customHeight="1">
      <c r="F391" s="48"/>
    </row>
    <row r="392" ht="15.75" customHeight="1">
      <c r="F392" s="48"/>
    </row>
    <row r="393" ht="15.75" customHeight="1">
      <c r="F393" s="48"/>
    </row>
    <row r="394" ht="15.75" customHeight="1">
      <c r="F394" s="48"/>
    </row>
    <row r="395" ht="15.75" customHeight="1">
      <c r="F395" s="48"/>
    </row>
    <row r="396" ht="15.75" customHeight="1">
      <c r="F396" s="48"/>
    </row>
    <row r="397" ht="15.75" customHeight="1">
      <c r="F397" s="48"/>
    </row>
    <row r="398" ht="15.75" customHeight="1">
      <c r="F398" s="48"/>
    </row>
    <row r="399" ht="15.75" customHeight="1">
      <c r="F399" s="48"/>
    </row>
    <row r="400" ht="15.75" customHeight="1">
      <c r="F400" s="48"/>
    </row>
    <row r="401" ht="15.75" customHeight="1">
      <c r="F401" s="48"/>
    </row>
    <row r="402" ht="15.75" customHeight="1">
      <c r="F402" s="48"/>
    </row>
    <row r="403" ht="15.75" customHeight="1">
      <c r="F403" s="48"/>
    </row>
    <row r="404" ht="15.75" customHeight="1">
      <c r="F404" s="48"/>
    </row>
    <row r="405" ht="15.75" customHeight="1">
      <c r="F405" s="48"/>
    </row>
    <row r="406" ht="15.75" customHeight="1">
      <c r="F406" s="48"/>
    </row>
    <row r="407" ht="15.75" customHeight="1">
      <c r="F407" s="48"/>
    </row>
    <row r="408" ht="15.75" customHeight="1">
      <c r="F408" s="48"/>
    </row>
    <row r="409" ht="15.75" customHeight="1">
      <c r="F409" s="48"/>
    </row>
    <row r="410" ht="15.75" customHeight="1">
      <c r="F410" s="48"/>
    </row>
    <row r="411" ht="15.75" customHeight="1">
      <c r="F411" s="48"/>
    </row>
    <row r="412" ht="15.75" customHeight="1">
      <c r="F412" s="48"/>
    </row>
    <row r="413" ht="15.75" customHeight="1">
      <c r="F413" s="48"/>
    </row>
    <row r="414" ht="15.75" customHeight="1">
      <c r="F414" s="48"/>
    </row>
    <row r="415" ht="15.75" customHeight="1">
      <c r="F415" s="48"/>
    </row>
    <row r="416" ht="15.75" customHeight="1">
      <c r="F416" s="48"/>
    </row>
    <row r="417" ht="15.75" customHeight="1">
      <c r="F417" s="48"/>
    </row>
    <row r="418" ht="15.75" customHeight="1">
      <c r="F418" s="48"/>
    </row>
    <row r="419" ht="15.75" customHeight="1">
      <c r="F419" s="48"/>
    </row>
    <row r="420" ht="15.75" customHeight="1">
      <c r="F420" s="48"/>
    </row>
    <row r="421" ht="15.75" customHeight="1">
      <c r="F421" s="48"/>
    </row>
    <row r="422" ht="15.75" customHeight="1">
      <c r="F422" s="48"/>
    </row>
    <row r="423" ht="15.75" customHeight="1">
      <c r="F423" s="48"/>
    </row>
    <row r="424" ht="15.75" customHeight="1">
      <c r="F424" s="48"/>
    </row>
    <row r="425" ht="15.75" customHeight="1">
      <c r="F425" s="48"/>
    </row>
    <row r="426" ht="15.75" customHeight="1">
      <c r="F426" s="48"/>
    </row>
    <row r="427" ht="15.75" customHeight="1">
      <c r="F427" s="48"/>
    </row>
    <row r="428" ht="15.75" customHeight="1">
      <c r="F428" s="48"/>
    </row>
    <row r="429" ht="15.75" customHeight="1">
      <c r="F429" s="48"/>
    </row>
    <row r="430" ht="15.75" customHeight="1">
      <c r="F430" s="48"/>
    </row>
    <row r="431" ht="15.75" customHeight="1">
      <c r="F431" s="48"/>
    </row>
    <row r="432" ht="15.75" customHeight="1">
      <c r="F432" s="48"/>
    </row>
    <row r="433" ht="15.75" customHeight="1">
      <c r="F433" s="48"/>
    </row>
    <row r="434" ht="15.75" customHeight="1">
      <c r="F434" s="48"/>
    </row>
    <row r="435" ht="15.75" customHeight="1">
      <c r="F435" s="48"/>
    </row>
    <row r="436" ht="15.75" customHeight="1">
      <c r="F436" s="48"/>
    </row>
    <row r="437" ht="15.75" customHeight="1">
      <c r="F437" s="48"/>
    </row>
    <row r="438" ht="15.75" customHeight="1">
      <c r="F438" s="48"/>
    </row>
    <row r="439" ht="15.75" customHeight="1">
      <c r="F439" s="48"/>
    </row>
    <row r="440" ht="15.75" customHeight="1">
      <c r="F440" s="48"/>
    </row>
    <row r="441" ht="15.75" customHeight="1">
      <c r="F441" s="48"/>
    </row>
    <row r="442" ht="15.75" customHeight="1">
      <c r="F442" s="48"/>
    </row>
    <row r="443" ht="15.75" customHeight="1">
      <c r="F443" s="48"/>
    </row>
    <row r="444" ht="15.75" customHeight="1">
      <c r="F444" s="48"/>
    </row>
    <row r="445" ht="15.75" customHeight="1">
      <c r="F445" s="48"/>
    </row>
    <row r="446" ht="15.75" customHeight="1">
      <c r="F446" s="48"/>
    </row>
    <row r="447" ht="15.75" customHeight="1">
      <c r="F447" s="48"/>
    </row>
    <row r="448" ht="15.75" customHeight="1">
      <c r="F448" s="48"/>
    </row>
    <row r="449" ht="15.75" customHeight="1">
      <c r="F449" s="48"/>
    </row>
    <row r="450" ht="15.75" customHeight="1">
      <c r="F450" s="48"/>
    </row>
    <row r="451" ht="15.75" customHeight="1">
      <c r="F451" s="48"/>
    </row>
    <row r="452" ht="15.75" customHeight="1">
      <c r="F452" s="48"/>
    </row>
    <row r="453" ht="15.75" customHeight="1">
      <c r="F453" s="48"/>
    </row>
    <row r="454" ht="15.75" customHeight="1">
      <c r="F454" s="48"/>
    </row>
    <row r="455" ht="15.75" customHeight="1">
      <c r="F455" s="48"/>
    </row>
    <row r="456" ht="15.75" customHeight="1">
      <c r="F456" s="48"/>
    </row>
    <row r="457" ht="15.75" customHeight="1">
      <c r="F457" s="48"/>
    </row>
    <row r="458" ht="15.75" customHeight="1">
      <c r="F458" s="48"/>
    </row>
    <row r="459" ht="15.75" customHeight="1">
      <c r="F459" s="48"/>
    </row>
    <row r="460" ht="15.75" customHeight="1">
      <c r="F460" s="48"/>
    </row>
    <row r="461" ht="15.75" customHeight="1">
      <c r="F461" s="48"/>
    </row>
    <row r="462" ht="15.75" customHeight="1">
      <c r="F462" s="48"/>
    </row>
    <row r="463" ht="15.75" customHeight="1">
      <c r="F463" s="48"/>
    </row>
    <row r="464" ht="15.75" customHeight="1">
      <c r="F464" s="48"/>
    </row>
    <row r="465" ht="15.75" customHeight="1">
      <c r="F465" s="48"/>
    </row>
    <row r="466" ht="15.75" customHeight="1">
      <c r="F466" s="48"/>
    </row>
    <row r="467" ht="15.75" customHeight="1">
      <c r="F467" s="48"/>
    </row>
    <row r="468" ht="15.75" customHeight="1">
      <c r="F468" s="48"/>
    </row>
    <row r="469" ht="15.75" customHeight="1">
      <c r="F469" s="48"/>
    </row>
    <row r="470" ht="15.75" customHeight="1">
      <c r="F470" s="48"/>
    </row>
    <row r="471" ht="15.75" customHeight="1">
      <c r="F471" s="48"/>
    </row>
    <row r="472" ht="15.75" customHeight="1">
      <c r="F472" s="48"/>
    </row>
    <row r="473" ht="15.75" customHeight="1">
      <c r="F473" s="48"/>
    </row>
    <row r="474" ht="15.75" customHeight="1">
      <c r="F474" s="48"/>
    </row>
    <row r="475" ht="15.75" customHeight="1">
      <c r="F475" s="48"/>
    </row>
    <row r="476" ht="15.75" customHeight="1">
      <c r="F476" s="48"/>
    </row>
    <row r="477" ht="15.75" customHeight="1">
      <c r="F477" s="48"/>
    </row>
    <row r="478" ht="15.75" customHeight="1">
      <c r="F478" s="48"/>
    </row>
    <row r="479" ht="15.75" customHeight="1">
      <c r="F479" s="48"/>
    </row>
    <row r="480" ht="15.75" customHeight="1">
      <c r="F480" s="48"/>
    </row>
    <row r="481" ht="15.75" customHeight="1">
      <c r="F481" s="48"/>
    </row>
    <row r="482" ht="15.75" customHeight="1">
      <c r="F482" s="48"/>
    </row>
    <row r="483" ht="15.75" customHeight="1">
      <c r="F483" s="48"/>
    </row>
    <row r="484" ht="15.75" customHeight="1">
      <c r="F484" s="48"/>
    </row>
    <row r="485" ht="15.75" customHeight="1">
      <c r="F485" s="48"/>
    </row>
    <row r="486" ht="15.75" customHeight="1">
      <c r="F486" s="48"/>
    </row>
    <row r="487" ht="15.75" customHeight="1">
      <c r="F487" s="48"/>
    </row>
    <row r="488" ht="15.75" customHeight="1">
      <c r="F488" s="48"/>
    </row>
    <row r="489" ht="15.75" customHeight="1">
      <c r="F489" s="48"/>
    </row>
    <row r="490" ht="15.75" customHeight="1">
      <c r="F490" s="48"/>
    </row>
    <row r="491" ht="15.75" customHeight="1">
      <c r="F491" s="48"/>
    </row>
    <row r="492" ht="15.75" customHeight="1">
      <c r="F492" s="48"/>
    </row>
    <row r="493" ht="15.75" customHeight="1">
      <c r="F493" s="48"/>
    </row>
    <row r="494" ht="15.75" customHeight="1">
      <c r="F494" s="48"/>
    </row>
    <row r="495" ht="15.75" customHeight="1">
      <c r="F495" s="48"/>
    </row>
    <row r="496" ht="15.75" customHeight="1">
      <c r="F496" s="48"/>
    </row>
    <row r="497" ht="15.75" customHeight="1">
      <c r="F497" s="48"/>
    </row>
    <row r="498" ht="15.75" customHeight="1">
      <c r="F498" s="48"/>
    </row>
    <row r="499" ht="15.75" customHeight="1">
      <c r="F499" s="48"/>
    </row>
    <row r="500" ht="15.75" customHeight="1">
      <c r="F500" s="48"/>
    </row>
    <row r="501" ht="15.75" customHeight="1">
      <c r="F501" s="48"/>
    </row>
    <row r="502" ht="15.75" customHeight="1">
      <c r="F502" s="48"/>
    </row>
    <row r="503" ht="15.75" customHeight="1">
      <c r="F503" s="48"/>
    </row>
    <row r="504" ht="15.75" customHeight="1">
      <c r="F504" s="48"/>
    </row>
    <row r="505" ht="15.75" customHeight="1">
      <c r="F505" s="48"/>
    </row>
    <row r="506" ht="15.75" customHeight="1">
      <c r="F506" s="48"/>
    </row>
    <row r="507" ht="15.75" customHeight="1">
      <c r="F507" s="48"/>
    </row>
    <row r="508" ht="15.75" customHeight="1">
      <c r="F508" s="48"/>
    </row>
    <row r="509" ht="15.75" customHeight="1">
      <c r="F509" s="48"/>
    </row>
    <row r="510" ht="15.75" customHeight="1">
      <c r="F510" s="48"/>
    </row>
    <row r="511" ht="15.75" customHeight="1">
      <c r="F511" s="48"/>
    </row>
    <row r="512" ht="15.75" customHeight="1">
      <c r="F512" s="48"/>
    </row>
    <row r="513" ht="15.75" customHeight="1">
      <c r="F513" s="48"/>
    </row>
    <row r="514" ht="15.75" customHeight="1">
      <c r="F514" s="48"/>
    </row>
    <row r="515" ht="15.75" customHeight="1">
      <c r="F515" s="48"/>
    </row>
    <row r="516" ht="15.75" customHeight="1">
      <c r="F516" s="48"/>
    </row>
    <row r="517" ht="15.75" customHeight="1">
      <c r="F517" s="48"/>
    </row>
    <row r="518" ht="15.75" customHeight="1">
      <c r="F518" s="48"/>
    </row>
    <row r="519" ht="15.75" customHeight="1">
      <c r="F519" s="48"/>
    </row>
    <row r="520" ht="15.75" customHeight="1">
      <c r="F520" s="48"/>
    </row>
    <row r="521" ht="15.75" customHeight="1">
      <c r="F521" s="48"/>
    </row>
    <row r="522" ht="15.75" customHeight="1">
      <c r="F522" s="48"/>
    </row>
    <row r="523" ht="15.75" customHeight="1">
      <c r="F523" s="48"/>
    </row>
    <row r="524" ht="15.75" customHeight="1">
      <c r="F524" s="48"/>
    </row>
    <row r="525" ht="15.75" customHeight="1">
      <c r="F525" s="48"/>
    </row>
    <row r="526" ht="15.75" customHeight="1">
      <c r="F526" s="48"/>
    </row>
    <row r="527" ht="15.75" customHeight="1">
      <c r="F527" s="48"/>
    </row>
    <row r="528" ht="15.75" customHeight="1">
      <c r="F528" s="48"/>
    </row>
    <row r="529" ht="15.75" customHeight="1">
      <c r="F529" s="48"/>
    </row>
    <row r="530" ht="15.75" customHeight="1">
      <c r="F530" s="48"/>
    </row>
    <row r="531" ht="15.75" customHeight="1">
      <c r="F531" s="48"/>
    </row>
    <row r="532" ht="15.75" customHeight="1">
      <c r="F532" s="48"/>
    </row>
    <row r="533" ht="15.75" customHeight="1">
      <c r="F533" s="48"/>
    </row>
    <row r="534" ht="15.75" customHeight="1">
      <c r="F534" s="48"/>
    </row>
    <row r="535" ht="15.75" customHeight="1">
      <c r="F535" s="48"/>
    </row>
    <row r="536" ht="15.75" customHeight="1">
      <c r="F536" s="48"/>
    </row>
    <row r="537" ht="15.75" customHeight="1">
      <c r="F537" s="48"/>
    </row>
    <row r="538" ht="15.75" customHeight="1">
      <c r="F538" s="48"/>
    </row>
    <row r="539" ht="15.75" customHeight="1">
      <c r="F539" s="48"/>
    </row>
    <row r="540" ht="15.75" customHeight="1">
      <c r="F540" s="48"/>
    </row>
    <row r="541" ht="15.75" customHeight="1">
      <c r="F541" s="48"/>
    </row>
    <row r="542" ht="15.75" customHeight="1">
      <c r="F542" s="48"/>
    </row>
    <row r="543" ht="15.75" customHeight="1">
      <c r="F543" s="48"/>
    </row>
    <row r="544" ht="15.75" customHeight="1">
      <c r="F544" s="48"/>
    </row>
    <row r="545" ht="15.75" customHeight="1">
      <c r="F545" s="48"/>
    </row>
    <row r="546" ht="15.75" customHeight="1">
      <c r="F546" s="48"/>
    </row>
    <row r="547" ht="15.75" customHeight="1">
      <c r="F547" s="48"/>
    </row>
    <row r="548" ht="15.75" customHeight="1">
      <c r="F548" s="48"/>
    </row>
    <row r="549" ht="15.75" customHeight="1">
      <c r="F549" s="48"/>
    </row>
    <row r="550" ht="15.75" customHeight="1">
      <c r="F550" s="48"/>
    </row>
    <row r="551" ht="15.75" customHeight="1">
      <c r="F551" s="48"/>
    </row>
    <row r="552" ht="15.75" customHeight="1">
      <c r="F552" s="48"/>
    </row>
    <row r="553" ht="15.75" customHeight="1">
      <c r="F553" s="48"/>
    </row>
    <row r="554" ht="15.75" customHeight="1">
      <c r="F554" s="48"/>
    </row>
    <row r="555" ht="15.75" customHeight="1">
      <c r="F555" s="48"/>
    </row>
    <row r="556" ht="15.75" customHeight="1">
      <c r="F556" s="48"/>
    </row>
    <row r="557" ht="15.75" customHeight="1">
      <c r="F557" s="48"/>
    </row>
    <row r="558" ht="15.75" customHeight="1">
      <c r="F558" s="48"/>
    </row>
    <row r="559" ht="15.75" customHeight="1">
      <c r="F559" s="48"/>
    </row>
    <row r="560" ht="15.75" customHeight="1">
      <c r="F560" s="48"/>
    </row>
    <row r="561" ht="15.75" customHeight="1">
      <c r="F561" s="48"/>
    </row>
    <row r="562" ht="15.75" customHeight="1">
      <c r="F562" s="48"/>
    </row>
    <row r="563" ht="15.75" customHeight="1">
      <c r="F563" s="48"/>
    </row>
    <row r="564" ht="15.75" customHeight="1">
      <c r="F564" s="48"/>
    </row>
    <row r="565" ht="15.75" customHeight="1">
      <c r="F565" s="48"/>
    </row>
    <row r="566" ht="15.75" customHeight="1">
      <c r="F566" s="48"/>
    </row>
    <row r="567" ht="15.75" customHeight="1">
      <c r="F567" s="48"/>
    </row>
    <row r="568" ht="15.75" customHeight="1">
      <c r="F568" s="48"/>
    </row>
    <row r="569" ht="15.75" customHeight="1">
      <c r="F569" s="48"/>
    </row>
    <row r="570" ht="15.75" customHeight="1">
      <c r="F570" s="48"/>
    </row>
    <row r="571" ht="15.75" customHeight="1">
      <c r="F571" s="48"/>
    </row>
    <row r="572" ht="15.75" customHeight="1">
      <c r="F572" s="48"/>
    </row>
    <row r="573" ht="15.75" customHeight="1">
      <c r="F573" s="48"/>
    </row>
    <row r="574" ht="15.75" customHeight="1">
      <c r="F574" s="48"/>
    </row>
    <row r="575" ht="15.75" customHeight="1">
      <c r="F575" s="48"/>
    </row>
    <row r="576" ht="15.75" customHeight="1">
      <c r="F576" s="48"/>
    </row>
    <row r="577" ht="15.75" customHeight="1">
      <c r="F577" s="48"/>
    </row>
    <row r="578" ht="15.75" customHeight="1">
      <c r="F578" s="48"/>
    </row>
    <row r="579" ht="15.75" customHeight="1">
      <c r="F579" s="48"/>
    </row>
    <row r="580" ht="15.75" customHeight="1">
      <c r="F580" s="48"/>
    </row>
    <row r="581" ht="15.75" customHeight="1">
      <c r="F581" s="48"/>
    </row>
    <row r="582" ht="15.75" customHeight="1">
      <c r="F582" s="48"/>
    </row>
    <row r="583" ht="15.75" customHeight="1">
      <c r="F583" s="48"/>
    </row>
    <row r="584" ht="15.75" customHeight="1">
      <c r="F584" s="48"/>
    </row>
    <row r="585" ht="15.75" customHeight="1">
      <c r="F585" s="48"/>
    </row>
    <row r="586" ht="15.75" customHeight="1">
      <c r="F586" s="48"/>
    </row>
    <row r="587" ht="15.75" customHeight="1">
      <c r="F587" s="48"/>
    </row>
    <row r="588" ht="15.75" customHeight="1">
      <c r="F588" s="48"/>
    </row>
    <row r="589" ht="15.75" customHeight="1">
      <c r="F589" s="48"/>
    </row>
    <row r="590" ht="15.75" customHeight="1">
      <c r="F590" s="48"/>
    </row>
    <row r="591" ht="15.75" customHeight="1">
      <c r="F591" s="48"/>
    </row>
    <row r="592" ht="15.75" customHeight="1">
      <c r="F592" s="48"/>
    </row>
    <row r="593" ht="15.75" customHeight="1">
      <c r="F593" s="48"/>
    </row>
    <row r="594" ht="15.75" customHeight="1">
      <c r="F594" s="48"/>
    </row>
    <row r="595" ht="15.75" customHeight="1">
      <c r="F595" s="48"/>
    </row>
    <row r="596" ht="15.75" customHeight="1">
      <c r="F596" s="48"/>
    </row>
    <row r="597" ht="15.75" customHeight="1">
      <c r="F597" s="48"/>
    </row>
    <row r="598" ht="15.75" customHeight="1">
      <c r="F598" s="48"/>
    </row>
    <row r="599" ht="15.75" customHeight="1">
      <c r="F599" s="48"/>
    </row>
    <row r="600" ht="15.75" customHeight="1">
      <c r="F600" s="48"/>
    </row>
    <row r="601" ht="15.75" customHeight="1">
      <c r="F601" s="48"/>
    </row>
    <row r="602" ht="15.75" customHeight="1">
      <c r="F602" s="48"/>
    </row>
    <row r="603" ht="15.75" customHeight="1">
      <c r="F603" s="48"/>
    </row>
    <row r="604" ht="15.75" customHeight="1">
      <c r="F604" s="48"/>
    </row>
    <row r="605" ht="15.75" customHeight="1">
      <c r="F605" s="48"/>
    </row>
    <row r="606" ht="15.75" customHeight="1">
      <c r="F606" s="48"/>
    </row>
    <row r="607" ht="15.75" customHeight="1">
      <c r="F607" s="48"/>
    </row>
    <row r="608" ht="15.75" customHeight="1">
      <c r="F608" s="48"/>
    </row>
    <row r="609" ht="15.75" customHeight="1">
      <c r="F609" s="48"/>
    </row>
    <row r="610" ht="15.75" customHeight="1">
      <c r="F610" s="48"/>
    </row>
    <row r="611" ht="15.75" customHeight="1">
      <c r="F611" s="48"/>
    </row>
    <row r="612" ht="15.75" customHeight="1">
      <c r="F612" s="48"/>
    </row>
    <row r="613" ht="15.75" customHeight="1">
      <c r="F613" s="48"/>
    </row>
    <row r="614" ht="15.75" customHeight="1">
      <c r="F614" s="48"/>
    </row>
    <row r="615" ht="15.75" customHeight="1">
      <c r="F615" s="48"/>
    </row>
    <row r="616" ht="15.75" customHeight="1">
      <c r="F616" s="48"/>
    </row>
    <row r="617" ht="15.75" customHeight="1">
      <c r="F617" s="48"/>
    </row>
    <row r="618" ht="15.75" customHeight="1">
      <c r="F618" s="48"/>
    </row>
    <row r="619" ht="15.75" customHeight="1">
      <c r="F619" s="48"/>
    </row>
    <row r="620" ht="15.75" customHeight="1">
      <c r="F620" s="48"/>
    </row>
    <row r="621" ht="15.75" customHeight="1">
      <c r="F621" s="48"/>
    </row>
    <row r="622" ht="15.75" customHeight="1">
      <c r="F622" s="48"/>
    </row>
    <row r="623" ht="15.75" customHeight="1">
      <c r="F623" s="48"/>
    </row>
    <row r="624" ht="15.75" customHeight="1">
      <c r="F624" s="48"/>
    </row>
    <row r="625" ht="15.75" customHeight="1">
      <c r="F625" s="48"/>
    </row>
    <row r="626" ht="15.75" customHeight="1">
      <c r="F626" s="48"/>
    </row>
    <row r="627" ht="15.75" customHeight="1">
      <c r="F627" s="48"/>
    </row>
    <row r="628" ht="15.75" customHeight="1">
      <c r="F628" s="48"/>
    </row>
    <row r="629" ht="15.75" customHeight="1">
      <c r="F629" s="48"/>
    </row>
    <row r="630" ht="15.75" customHeight="1">
      <c r="F630" s="48"/>
    </row>
    <row r="631" ht="15.75" customHeight="1">
      <c r="F631" s="48"/>
    </row>
    <row r="632" ht="15.75" customHeight="1">
      <c r="F632" s="48"/>
    </row>
    <row r="633" ht="15.75" customHeight="1">
      <c r="F633" s="48"/>
    </row>
    <row r="634" ht="15.75" customHeight="1">
      <c r="F634" s="48"/>
    </row>
    <row r="635" ht="15.75" customHeight="1">
      <c r="F635" s="48"/>
    </row>
    <row r="636" ht="15.75" customHeight="1">
      <c r="F636" s="48"/>
    </row>
    <row r="637" ht="15.75" customHeight="1">
      <c r="F637" s="48"/>
    </row>
    <row r="638" ht="15.75" customHeight="1">
      <c r="F638" s="48"/>
    </row>
    <row r="639" ht="15.75" customHeight="1">
      <c r="F639" s="48"/>
    </row>
    <row r="640" ht="15.75" customHeight="1">
      <c r="F640" s="48"/>
    </row>
    <row r="641" ht="15.75" customHeight="1">
      <c r="F641" s="48"/>
    </row>
    <row r="642" ht="15.75" customHeight="1">
      <c r="F642" s="48"/>
    </row>
    <row r="643" ht="15.75" customHeight="1">
      <c r="F643" s="48"/>
    </row>
    <row r="644" ht="15.75" customHeight="1">
      <c r="F644" s="48"/>
    </row>
    <row r="645" ht="15.75" customHeight="1">
      <c r="F645" s="48"/>
    </row>
    <row r="646" ht="15.75" customHeight="1">
      <c r="F646" s="48"/>
    </row>
    <row r="647" ht="15.75" customHeight="1">
      <c r="F647" s="48"/>
    </row>
    <row r="648" ht="15.75" customHeight="1">
      <c r="F648" s="48"/>
    </row>
    <row r="649" ht="15.75" customHeight="1">
      <c r="F649" s="48"/>
    </row>
    <row r="650" ht="15.75" customHeight="1">
      <c r="F650" s="48"/>
    </row>
    <row r="651" ht="15.75" customHeight="1">
      <c r="F651" s="48"/>
    </row>
    <row r="652" ht="15.75" customHeight="1">
      <c r="F652" s="48"/>
    </row>
    <row r="653" ht="15.75" customHeight="1">
      <c r="F653" s="48"/>
    </row>
    <row r="654" ht="15.75" customHeight="1">
      <c r="F654" s="48"/>
    </row>
    <row r="655" ht="15.75" customHeight="1">
      <c r="F655" s="48"/>
    </row>
    <row r="656" ht="15.75" customHeight="1">
      <c r="F656" s="48"/>
    </row>
    <row r="657" ht="15.75" customHeight="1">
      <c r="F657" s="48"/>
    </row>
    <row r="658" ht="15.75" customHeight="1">
      <c r="F658" s="48"/>
    </row>
    <row r="659" ht="15.75" customHeight="1">
      <c r="F659" s="48"/>
    </row>
    <row r="660" ht="15.75" customHeight="1">
      <c r="F660" s="48"/>
    </row>
    <row r="661" ht="15.75" customHeight="1">
      <c r="F661" s="48"/>
    </row>
    <row r="662" ht="15.75" customHeight="1">
      <c r="F662" s="48"/>
    </row>
    <row r="663" ht="15.75" customHeight="1">
      <c r="F663" s="48"/>
    </row>
    <row r="664" ht="15.75" customHeight="1">
      <c r="F664" s="48"/>
    </row>
    <row r="665" ht="15.75" customHeight="1">
      <c r="F665" s="48"/>
    </row>
    <row r="666" ht="15.75" customHeight="1">
      <c r="F666" s="48"/>
    </row>
    <row r="667" ht="15.75" customHeight="1">
      <c r="F667" s="48"/>
    </row>
    <row r="668" ht="15.75" customHeight="1">
      <c r="F668" s="48"/>
    </row>
    <row r="669" ht="15.75" customHeight="1">
      <c r="F669" s="48"/>
    </row>
    <row r="670" ht="15.75" customHeight="1">
      <c r="F670" s="48"/>
    </row>
    <row r="671" ht="15.75" customHeight="1">
      <c r="F671" s="48"/>
    </row>
    <row r="672" ht="15.75" customHeight="1">
      <c r="F672" s="48"/>
    </row>
    <row r="673" ht="15.75" customHeight="1">
      <c r="F673" s="48"/>
    </row>
    <row r="674" ht="15.75" customHeight="1">
      <c r="F674" s="48"/>
    </row>
    <row r="675" ht="15.75" customHeight="1">
      <c r="F675" s="48"/>
    </row>
    <row r="676" ht="15.75" customHeight="1">
      <c r="F676" s="48"/>
    </row>
    <row r="677" ht="15.75" customHeight="1">
      <c r="F677" s="48"/>
    </row>
    <row r="678" ht="15.75" customHeight="1">
      <c r="F678" s="48"/>
    </row>
    <row r="679" ht="15.75" customHeight="1">
      <c r="F679" s="48"/>
    </row>
    <row r="680" ht="15.75" customHeight="1">
      <c r="F680" s="48"/>
    </row>
    <row r="681" ht="15.75" customHeight="1">
      <c r="F681" s="48"/>
    </row>
    <row r="682" ht="15.75" customHeight="1">
      <c r="F682" s="48"/>
    </row>
    <row r="683" ht="15.75" customHeight="1">
      <c r="F683" s="48"/>
    </row>
    <row r="684" ht="15.75" customHeight="1">
      <c r="F684" s="48"/>
    </row>
    <row r="685" ht="15.75" customHeight="1">
      <c r="F685" s="48"/>
    </row>
    <row r="686" ht="15.75" customHeight="1">
      <c r="F686" s="48"/>
    </row>
    <row r="687" ht="15.75" customHeight="1">
      <c r="F687" s="48"/>
    </row>
    <row r="688" ht="15.75" customHeight="1">
      <c r="F688" s="48"/>
    </row>
    <row r="689" ht="15.75" customHeight="1">
      <c r="F689" s="48"/>
    </row>
    <row r="690" ht="15.75" customHeight="1">
      <c r="F690" s="48"/>
    </row>
    <row r="691" ht="15.75" customHeight="1">
      <c r="F691" s="48"/>
    </row>
    <row r="692" ht="15.75" customHeight="1">
      <c r="F692" s="48"/>
    </row>
    <row r="693" ht="15.75" customHeight="1">
      <c r="F693" s="48"/>
    </row>
    <row r="694" ht="15.75" customHeight="1">
      <c r="F694" s="48"/>
    </row>
    <row r="695" ht="15.75" customHeight="1">
      <c r="F695" s="48"/>
    </row>
    <row r="696" ht="15.75" customHeight="1">
      <c r="F696" s="48"/>
    </row>
    <row r="697" ht="15.75" customHeight="1">
      <c r="F697" s="48"/>
    </row>
    <row r="698" ht="15.75" customHeight="1">
      <c r="F698" s="48"/>
    </row>
    <row r="699" ht="15.75" customHeight="1">
      <c r="F699" s="48"/>
    </row>
    <row r="700" ht="15.75" customHeight="1">
      <c r="F700" s="48"/>
    </row>
    <row r="701" ht="15.75" customHeight="1">
      <c r="F701" s="48"/>
    </row>
    <row r="702" ht="15.75" customHeight="1">
      <c r="F702" s="48"/>
    </row>
    <row r="703" ht="15.75" customHeight="1">
      <c r="F703" s="48"/>
    </row>
    <row r="704" ht="15.75" customHeight="1">
      <c r="F704" s="48"/>
    </row>
    <row r="705" ht="15.75" customHeight="1">
      <c r="F705" s="48"/>
    </row>
    <row r="706" ht="15.75" customHeight="1">
      <c r="F706" s="48"/>
    </row>
    <row r="707" ht="15.75" customHeight="1">
      <c r="F707" s="48"/>
    </row>
    <row r="708" ht="15.75" customHeight="1">
      <c r="F708" s="48"/>
    </row>
    <row r="709" ht="15.75" customHeight="1">
      <c r="F709" s="48"/>
    </row>
    <row r="710" ht="15.75" customHeight="1">
      <c r="F710" s="48"/>
    </row>
    <row r="711" ht="15.75" customHeight="1">
      <c r="F711" s="48"/>
    </row>
    <row r="712" ht="15.75" customHeight="1">
      <c r="F712" s="48"/>
    </row>
    <row r="713" ht="15.75" customHeight="1">
      <c r="F713" s="48"/>
    </row>
    <row r="714" ht="15.75" customHeight="1">
      <c r="F714" s="48"/>
    </row>
    <row r="715" ht="15.75" customHeight="1">
      <c r="F715" s="48"/>
    </row>
    <row r="716" ht="15.75" customHeight="1">
      <c r="F716" s="48"/>
    </row>
    <row r="717" ht="15.75" customHeight="1">
      <c r="F717" s="48"/>
    </row>
    <row r="718" ht="15.75" customHeight="1">
      <c r="F718" s="48"/>
    </row>
    <row r="719" ht="15.75" customHeight="1">
      <c r="F719" s="48"/>
    </row>
    <row r="720" ht="15.75" customHeight="1">
      <c r="F720" s="48"/>
    </row>
    <row r="721" ht="15.75" customHeight="1">
      <c r="F721" s="48"/>
    </row>
    <row r="722" ht="15.75" customHeight="1">
      <c r="F722" s="48"/>
    </row>
    <row r="723" ht="15.75" customHeight="1">
      <c r="F723" s="48"/>
    </row>
    <row r="724" ht="15.75" customHeight="1">
      <c r="F724" s="48"/>
    </row>
    <row r="725" ht="15.75" customHeight="1">
      <c r="F725" s="48"/>
    </row>
    <row r="726" ht="15.75" customHeight="1">
      <c r="F726" s="48"/>
    </row>
    <row r="727" ht="15.75" customHeight="1">
      <c r="F727" s="48"/>
    </row>
    <row r="728" ht="15.75" customHeight="1">
      <c r="F728" s="48"/>
    </row>
    <row r="729" ht="15.75" customHeight="1">
      <c r="F729" s="48"/>
    </row>
    <row r="730" ht="15.75" customHeight="1">
      <c r="F730" s="48"/>
    </row>
    <row r="731" ht="15.75" customHeight="1">
      <c r="F731" s="48"/>
    </row>
    <row r="732" ht="15.75" customHeight="1">
      <c r="F732" s="48"/>
    </row>
    <row r="733" ht="15.75" customHeight="1">
      <c r="F733" s="48"/>
    </row>
    <row r="734" ht="15.75" customHeight="1">
      <c r="F734" s="48"/>
    </row>
    <row r="735" ht="15.75" customHeight="1">
      <c r="F735" s="48"/>
    </row>
    <row r="736" ht="15.75" customHeight="1">
      <c r="F736" s="48"/>
    </row>
    <row r="737" ht="15.75" customHeight="1">
      <c r="F737" s="48"/>
    </row>
    <row r="738" ht="15.75" customHeight="1">
      <c r="F738" s="48"/>
    </row>
    <row r="739" ht="15.75" customHeight="1">
      <c r="F739" s="48"/>
    </row>
    <row r="740" ht="15.75" customHeight="1">
      <c r="F740" s="48"/>
    </row>
    <row r="741" ht="15.75" customHeight="1">
      <c r="F741" s="48"/>
    </row>
    <row r="742" ht="15.75" customHeight="1">
      <c r="F742" s="48"/>
    </row>
    <row r="743" ht="15.75" customHeight="1">
      <c r="F743" s="48"/>
    </row>
    <row r="744" ht="15.75" customHeight="1">
      <c r="F744" s="48"/>
    </row>
    <row r="745" ht="15.75" customHeight="1">
      <c r="F745" s="48"/>
    </row>
    <row r="746" ht="15.75" customHeight="1">
      <c r="F746" s="48"/>
    </row>
    <row r="747" ht="15.75" customHeight="1">
      <c r="F747" s="48"/>
    </row>
    <row r="748" ht="15.75" customHeight="1">
      <c r="F748" s="48"/>
    </row>
    <row r="749" ht="15.75" customHeight="1">
      <c r="F749" s="48"/>
    </row>
    <row r="750" ht="15.75" customHeight="1">
      <c r="F750" s="48"/>
    </row>
    <row r="751" ht="15.75" customHeight="1">
      <c r="F751" s="48"/>
    </row>
    <row r="752" ht="15.75" customHeight="1">
      <c r="F752" s="48"/>
    </row>
    <row r="753" ht="15.75" customHeight="1">
      <c r="F753" s="48"/>
    </row>
    <row r="754" ht="15.75" customHeight="1">
      <c r="F754" s="48"/>
    </row>
    <row r="755" ht="15.75" customHeight="1">
      <c r="F755" s="48"/>
    </row>
    <row r="756" ht="15.75" customHeight="1">
      <c r="F756" s="48"/>
    </row>
    <row r="757" ht="15.75" customHeight="1">
      <c r="F757" s="48"/>
    </row>
    <row r="758" ht="15.75" customHeight="1">
      <c r="F758" s="48"/>
    </row>
    <row r="759" ht="15.75" customHeight="1">
      <c r="F759" s="48"/>
    </row>
    <row r="760" ht="15.75" customHeight="1">
      <c r="F760" s="48"/>
    </row>
    <row r="761" ht="15.75" customHeight="1">
      <c r="F761" s="48"/>
    </row>
    <row r="762" ht="15.75" customHeight="1">
      <c r="F762" s="48"/>
    </row>
    <row r="763" ht="15.75" customHeight="1">
      <c r="F763" s="48"/>
    </row>
    <row r="764" ht="15.75" customHeight="1">
      <c r="F764" s="48"/>
    </row>
    <row r="765" ht="15.75" customHeight="1">
      <c r="F765" s="48"/>
    </row>
    <row r="766" ht="15.75" customHeight="1">
      <c r="F766" s="48"/>
    </row>
    <row r="767" ht="15.75" customHeight="1">
      <c r="F767" s="48"/>
    </row>
    <row r="768" ht="15.75" customHeight="1">
      <c r="F768" s="48"/>
    </row>
    <row r="769" ht="15.75" customHeight="1">
      <c r="F769" s="48"/>
    </row>
    <row r="770" ht="15.75" customHeight="1">
      <c r="F770" s="48"/>
    </row>
    <row r="771" ht="15.75" customHeight="1">
      <c r="F771" s="48"/>
    </row>
    <row r="772" ht="15.75" customHeight="1">
      <c r="F772" s="48"/>
    </row>
    <row r="773" ht="15.75" customHeight="1">
      <c r="F773" s="48"/>
    </row>
    <row r="774" ht="15.75" customHeight="1">
      <c r="F774" s="48"/>
    </row>
    <row r="775" ht="15.75" customHeight="1">
      <c r="F775" s="48"/>
    </row>
    <row r="776" ht="15.75" customHeight="1">
      <c r="F776" s="48"/>
    </row>
    <row r="777" ht="15.75" customHeight="1">
      <c r="F777" s="48"/>
    </row>
    <row r="778" ht="15.75" customHeight="1">
      <c r="F778" s="48"/>
    </row>
    <row r="779" ht="15.75" customHeight="1">
      <c r="F779" s="48"/>
    </row>
    <row r="780" ht="15.75" customHeight="1">
      <c r="F780" s="48"/>
    </row>
    <row r="781" ht="15.75" customHeight="1">
      <c r="F781" s="48"/>
    </row>
    <row r="782" ht="15.75" customHeight="1">
      <c r="F782" s="48"/>
    </row>
    <row r="783" ht="15.75" customHeight="1">
      <c r="F783" s="48"/>
    </row>
    <row r="784" ht="15.75" customHeight="1">
      <c r="F784" s="48"/>
    </row>
    <row r="785" ht="15.75" customHeight="1">
      <c r="F785" s="48"/>
    </row>
    <row r="786" ht="15.75" customHeight="1">
      <c r="F786" s="48"/>
    </row>
    <row r="787" ht="15.75" customHeight="1">
      <c r="F787" s="48"/>
    </row>
    <row r="788" ht="15.75" customHeight="1">
      <c r="F788" s="48"/>
    </row>
    <row r="789" ht="15.75" customHeight="1">
      <c r="F789" s="48"/>
    </row>
    <row r="790" ht="15.75" customHeight="1">
      <c r="F790" s="48"/>
    </row>
    <row r="791" ht="15.75" customHeight="1">
      <c r="F791" s="48"/>
    </row>
    <row r="792" ht="15.75" customHeight="1">
      <c r="F792" s="48"/>
    </row>
    <row r="793" ht="15.75" customHeight="1">
      <c r="F793" s="48"/>
    </row>
    <row r="794" ht="15.75" customHeight="1">
      <c r="F794" s="48"/>
    </row>
    <row r="795" ht="15.75" customHeight="1">
      <c r="F795" s="48"/>
    </row>
    <row r="796" ht="15.75" customHeight="1">
      <c r="F796" s="48"/>
    </row>
    <row r="797" ht="15.75" customHeight="1">
      <c r="F797" s="48"/>
    </row>
    <row r="798" ht="15.75" customHeight="1">
      <c r="F798" s="48"/>
    </row>
    <row r="799" ht="15.75" customHeight="1">
      <c r="F799" s="48"/>
    </row>
    <row r="800" ht="15.75" customHeight="1">
      <c r="F800" s="48"/>
    </row>
    <row r="801" ht="15.75" customHeight="1">
      <c r="F801" s="48"/>
    </row>
    <row r="802" ht="15.75" customHeight="1">
      <c r="F802" s="48"/>
    </row>
    <row r="803" ht="15.75" customHeight="1">
      <c r="F803" s="48"/>
    </row>
    <row r="804" ht="15.75" customHeight="1">
      <c r="F804" s="48"/>
    </row>
    <row r="805" ht="15.75" customHeight="1">
      <c r="F805" s="48"/>
    </row>
    <row r="806" ht="15.75" customHeight="1">
      <c r="F806" s="48"/>
    </row>
    <row r="807" ht="15.75" customHeight="1">
      <c r="F807" s="48"/>
    </row>
    <row r="808" ht="15.75" customHeight="1">
      <c r="F808" s="48"/>
    </row>
    <row r="809" ht="15.75" customHeight="1">
      <c r="F809" s="48"/>
    </row>
    <row r="810" ht="15.75" customHeight="1">
      <c r="F810" s="48"/>
    </row>
    <row r="811" ht="15.75" customHeight="1">
      <c r="F811" s="48"/>
    </row>
    <row r="812" ht="15.75" customHeight="1">
      <c r="F812" s="48"/>
    </row>
    <row r="813" ht="15.75" customHeight="1">
      <c r="F813" s="48"/>
    </row>
    <row r="814" ht="15.75" customHeight="1">
      <c r="F814" s="48"/>
    </row>
    <row r="815" ht="15.75" customHeight="1">
      <c r="F815" s="48"/>
    </row>
    <row r="816" ht="15.75" customHeight="1">
      <c r="F816" s="48"/>
    </row>
    <row r="817" ht="15.75" customHeight="1">
      <c r="F817" s="48"/>
    </row>
    <row r="818" ht="15.75" customHeight="1">
      <c r="F818" s="48"/>
    </row>
    <row r="819" ht="15.75" customHeight="1">
      <c r="F819" s="48"/>
    </row>
    <row r="820" ht="15.75" customHeight="1">
      <c r="F820" s="48"/>
    </row>
    <row r="821" ht="15.75" customHeight="1">
      <c r="F821" s="48"/>
    </row>
    <row r="822" ht="15.75" customHeight="1">
      <c r="F822" s="48"/>
    </row>
    <row r="823" ht="15.75" customHeight="1">
      <c r="F823" s="48"/>
    </row>
    <row r="824" ht="15.75" customHeight="1">
      <c r="F824" s="48"/>
    </row>
    <row r="825" ht="15.75" customHeight="1">
      <c r="F825" s="48"/>
    </row>
    <row r="826" ht="15.75" customHeight="1">
      <c r="F826" s="48"/>
    </row>
    <row r="827" ht="15.75" customHeight="1">
      <c r="F827" s="48"/>
    </row>
    <row r="828" ht="15.75" customHeight="1">
      <c r="F828" s="48"/>
    </row>
    <row r="829" ht="15.75" customHeight="1">
      <c r="F829" s="48"/>
    </row>
    <row r="830" ht="15.75" customHeight="1">
      <c r="F830" s="48"/>
    </row>
    <row r="831" ht="15.75" customHeight="1">
      <c r="F831" s="48"/>
    </row>
    <row r="832" ht="15.75" customHeight="1">
      <c r="F832" s="48"/>
    </row>
    <row r="833" ht="15.75" customHeight="1">
      <c r="F833" s="48"/>
    </row>
    <row r="834" ht="15.75" customHeight="1">
      <c r="F834" s="48"/>
    </row>
    <row r="835" ht="15.75" customHeight="1">
      <c r="F835" s="48"/>
    </row>
    <row r="836" ht="15.75" customHeight="1">
      <c r="F836" s="48"/>
    </row>
    <row r="837" ht="15.75" customHeight="1">
      <c r="F837" s="48"/>
    </row>
    <row r="838" ht="15.75" customHeight="1">
      <c r="F838" s="48"/>
    </row>
    <row r="839" ht="15.75" customHeight="1">
      <c r="F839" s="48"/>
    </row>
    <row r="840" ht="15.75" customHeight="1">
      <c r="F840" s="48"/>
    </row>
    <row r="841" ht="15.75" customHeight="1">
      <c r="F841" s="48"/>
    </row>
    <row r="842" ht="15.75" customHeight="1">
      <c r="F842" s="48"/>
    </row>
    <row r="843" ht="15.75" customHeight="1">
      <c r="F843" s="48"/>
    </row>
    <row r="844" ht="15.75" customHeight="1">
      <c r="F844" s="48"/>
    </row>
    <row r="845" ht="15.75" customHeight="1">
      <c r="F845" s="48"/>
    </row>
    <row r="846" ht="15.75" customHeight="1">
      <c r="F846" s="48"/>
    </row>
    <row r="847" ht="15.75" customHeight="1">
      <c r="F847" s="48"/>
    </row>
    <row r="848" ht="15.75" customHeight="1">
      <c r="F848" s="48"/>
    </row>
    <row r="849" ht="15.75" customHeight="1">
      <c r="F849" s="48"/>
    </row>
    <row r="850" ht="15.75" customHeight="1">
      <c r="F850" s="48"/>
    </row>
    <row r="851" ht="15.75" customHeight="1">
      <c r="F851" s="48"/>
    </row>
    <row r="852" ht="15.75" customHeight="1">
      <c r="F852" s="48"/>
    </row>
    <row r="853" ht="15.75" customHeight="1">
      <c r="F853" s="48"/>
    </row>
    <row r="854" ht="15.75" customHeight="1">
      <c r="F854" s="48"/>
    </row>
    <row r="855" ht="15.75" customHeight="1">
      <c r="F855" s="48"/>
    </row>
    <row r="856" ht="15.75" customHeight="1">
      <c r="F856" s="48"/>
    </row>
    <row r="857" ht="15.75" customHeight="1">
      <c r="F857" s="48"/>
    </row>
    <row r="858" ht="15.75" customHeight="1">
      <c r="F858" s="48"/>
    </row>
    <row r="859" ht="15.75" customHeight="1">
      <c r="F859" s="48"/>
    </row>
    <row r="860" ht="15.75" customHeight="1">
      <c r="F860" s="48"/>
    </row>
    <row r="861" ht="15.75" customHeight="1">
      <c r="F861" s="48"/>
    </row>
    <row r="862" ht="15.75" customHeight="1">
      <c r="F862" s="48"/>
    </row>
    <row r="863" ht="15.75" customHeight="1">
      <c r="F863" s="48"/>
    </row>
    <row r="864" ht="15.75" customHeight="1">
      <c r="F864" s="48"/>
    </row>
    <row r="865" ht="15.75" customHeight="1">
      <c r="F865" s="48"/>
    </row>
    <row r="866" ht="15.75" customHeight="1">
      <c r="F866" s="48"/>
    </row>
    <row r="867" ht="15.75" customHeight="1">
      <c r="F867" s="48"/>
    </row>
    <row r="868" ht="15.75" customHeight="1">
      <c r="F868" s="48"/>
    </row>
    <row r="869" ht="15.75" customHeight="1">
      <c r="F869" s="48"/>
    </row>
    <row r="870" ht="15.75" customHeight="1">
      <c r="F870" s="48"/>
    </row>
    <row r="871" ht="15.75" customHeight="1">
      <c r="F871" s="48"/>
    </row>
    <row r="872" ht="15.75" customHeight="1">
      <c r="F872" s="48"/>
    </row>
    <row r="873" ht="15.75" customHeight="1">
      <c r="F873" s="48"/>
    </row>
    <row r="874" ht="15.75" customHeight="1">
      <c r="F874" s="48"/>
    </row>
    <row r="875" ht="15.75" customHeight="1">
      <c r="F875" s="48"/>
    </row>
    <row r="876" ht="15.75" customHeight="1">
      <c r="F876" s="48"/>
    </row>
    <row r="877" ht="15.75" customHeight="1">
      <c r="F877" s="48"/>
    </row>
    <row r="878" ht="15.75" customHeight="1">
      <c r="F878" s="48"/>
    </row>
    <row r="879" ht="15.75" customHeight="1">
      <c r="F879" s="48"/>
    </row>
    <row r="880" ht="15.75" customHeight="1">
      <c r="F880" s="48"/>
    </row>
    <row r="881" ht="15.75" customHeight="1">
      <c r="F881" s="48"/>
    </row>
    <row r="882" ht="15.75" customHeight="1">
      <c r="F882" s="48"/>
    </row>
    <row r="883" ht="15.75" customHeight="1">
      <c r="F883" s="48"/>
    </row>
    <row r="884" ht="15.75" customHeight="1">
      <c r="F884" s="48"/>
    </row>
    <row r="885" ht="15.75" customHeight="1">
      <c r="F885" s="48"/>
    </row>
    <row r="886" ht="15.75" customHeight="1">
      <c r="F886" s="48"/>
    </row>
    <row r="887" ht="15.75" customHeight="1">
      <c r="F887" s="48"/>
    </row>
    <row r="888" ht="15.75" customHeight="1">
      <c r="F888" s="48"/>
    </row>
    <row r="889" ht="15.75" customHeight="1">
      <c r="F889" s="48"/>
    </row>
    <row r="890" ht="15.75" customHeight="1">
      <c r="F890" s="48"/>
    </row>
    <row r="891" ht="15.75" customHeight="1">
      <c r="F891" s="48"/>
    </row>
    <row r="892" ht="15.75" customHeight="1">
      <c r="F892" s="48"/>
    </row>
    <row r="893" ht="15.75" customHeight="1">
      <c r="F893" s="48"/>
    </row>
    <row r="894" ht="15.75" customHeight="1">
      <c r="F894" s="48"/>
    </row>
    <row r="895" ht="15.75" customHeight="1">
      <c r="F895" s="48"/>
    </row>
    <row r="896" ht="15.75" customHeight="1">
      <c r="F896" s="48"/>
    </row>
    <row r="897" ht="15.75" customHeight="1">
      <c r="F897" s="48"/>
    </row>
    <row r="898" ht="15.75" customHeight="1">
      <c r="F898" s="48"/>
    </row>
    <row r="899" ht="15.75" customHeight="1">
      <c r="F899" s="48"/>
    </row>
    <row r="900" ht="15.75" customHeight="1">
      <c r="F900" s="48"/>
    </row>
    <row r="901" ht="15.75" customHeight="1">
      <c r="F901" s="48"/>
    </row>
    <row r="902" ht="15.75" customHeight="1">
      <c r="F902" s="48"/>
    </row>
    <row r="903" ht="15.75" customHeight="1">
      <c r="F903" s="48"/>
    </row>
    <row r="904" ht="15.75" customHeight="1">
      <c r="F904" s="48"/>
    </row>
    <row r="905" ht="15.75" customHeight="1">
      <c r="F905" s="48"/>
    </row>
    <row r="906" ht="15.75" customHeight="1">
      <c r="F906" s="48"/>
    </row>
    <row r="907" ht="15.75" customHeight="1">
      <c r="F907" s="48"/>
    </row>
    <row r="908" ht="15.75" customHeight="1">
      <c r="F908" s="48"/>
    </row>
    <row r="909" ht="15.75" customHeight="1">
      <c r="F909" s="48"/>
    </row>
    <row r="910" ht="15.75" customHeight="1">
      <c r="F910" s="48"/>
    </row>
    <row r="911" ht="15.75" customHeight="1">
      <c r="F911" s="48"/>
    </row>
    <row r="912" ht="15.75" customHeight="1">
      <c r="F912" s="48"/>
    </row>
    <row r="913" ht="15.75" customHeight="1">
      <c r="F913" s="48"/>
    </row>
    <row r="914" ht="15.75" customHeight="1">
      <c r="F914" s="48"/>
    </row>
    <row r="915" ht="15.75" customHeight="1">
      <c r="F915" s="48"/>
    </row>
    <row r="916" ht="15.75" customHeight="1">
      <c r="F916" s="48"/>
    </row>
    <row r="917" ht="15.75" customHeight="1">
      <c r="F917" s="48"/>
    </row>
    <row r="918" ht="15.75" customHeight="1">
      <c r="F918" s="48"/>
    </row>
    <row r="919" ht="15.75" customHeight="1">
      <c r="F919" s="48"/>
    </row>
    <row r="920" ht="15.75" customHeight="1">
      <c r="F920" s="48"/>
    </row>
    <row r="921" ht="15.75" customHeight="1">
      <c r="F921" s="48"/>
    </row>
    <row r="922" ht="15.75" customHeight="1">
      <c r="F922" s="48"/>
    </row>
    <row r="923" ht="15.75" customHeight="1">
      <c r="F923" s="48"/>
    </row>
    <row r="924" ht="15.75" customHeight="1">
      <c r="F924" s="48"/>
    </row>
    <row r="925" ht="15.75" customHeight="1">
      <c r="F925" s="48"/>
    </row>
    <row r="926" ht="15.75" customHeight="1">
      <c r="F926" s="48"/>
    </row>
    <row r="927" ht="15.75" customHeight="1">
      <c r="F927" s="48"/>
    </row>
    <row r="928" ht="15.75" customHeight="1">
      <c r="F928" s="48"/>
    </row>
    <row r="929" ht="15.75" customHeight="1">
      <c r="F929" s="48"/>
    </row>
    <row r="930" ht="15.75" customHeight="1">
      <c r="F930" s="48"/>
    </row>
    <row r="931" ht="15.75" customHeight="1">
      <c r="F931" s="48"/>
    </row>
    <row r="932" ht="15.75" customHeight="1">
      <c r="F932" s="48"/>
    </row>
    <row r="933" ht="15.75" customHeight="1">
      <c r="F933" s="48"/>
    </row>
    <row r="934" ht="15.75" customHeight="1">
      <c r="F934" s="48"/>
    </row>
    <row r="935" ht="15.75" customHeight="1">
      <c r="F935" s="48"/>
    </row>
    <row r="936" ht="15.75" customHeight="1">
      <c r="F936" s="48"/>
    </row>
    <row r="937" ht="15.75" customHeight="1">
      <c r="F937" s="48"/>
    </row>
    <row r="938" ht="15.75" customHeight="1">
      <c r="F938" s="48"/>
    </row>
    <row r="939" ht="15.75" customHeight="1">
      <c r="F939" s="48"/>
    </row>
    <row r="940" ht="15.75" customHeight="1">
      <c r="F940" s="48"/>
    </row>
    <row r="941" ht="15.75" customHeight="1">
      <c r="F941" s="48"/>
    </row>
    <row r="942" ht="15.75" customHeight="1">
      <c r="F942" s="48"/>
    </row>
    <row r="943" ht="15.75" customHeight="1">
      <c r="F943" s="48"/>
    </row>
    <row r="944" ht="15.75" customHeight="1">
      <c r="F944" s="48"/>
    </row>
    <row r="945" ht="15.75" customHeight="1">
      <c r="F945" s="48"/>
    </row>
    <row r="946" ht="15.75" customHeight="1">
      <c r="F946" s="48"/>
    </row>
    <row r="947" ht="15.75" customHeight="1">
      <c r="F947" s="48"/>
    </row>
    <row r="948" ht="15.75" customHeight="1">
      <c r="F948" s="48"/>
    </row>
    <row r="949" ht="15.75" customHeight="1">
      <c r="F949" s="48"/>
    </row>
    <row r="950" ht="15.75" customHeight="1">
      <c r="F950" s="48"/>
    </row>
    <row r="951" ht="15.75" customHeight="1">
      <c r="F951" s="48"/>
    </row>
    <row r="952" ht="15.75" customHeight="1">
      <c r="F952" s="48"/>
    </row>
    <row r="953" ht="15.75" customHeight="1">
      <c r="F953" s="48"/>
    </row>
    <row r="954" ht="15.75" customHeight="1">
      <c r="F954" s="48"/>
    </row>
    <row r="955" ht="15.75" customHeight="1">
      <c r="F955" s="48"/>
    </row>
    <row r="956" ht="15.75" customHeight="1">
      <c r="F956" s="48"/>
    </row>
    <row r="957" ht="15.75" customHeight="1">
      <c r="F957" s="48"/>
    </row>
    <row r="958" ht="15.75" customHeight="1">
      <c r="F958" s="48"/>
    </row>
    <row r="959" ht="15.75" customHeight="1">
      <c r="F959" s="48"/>
    </row>
    <row r="960" ht="15.75" customHeight="1">
      <c r="F960" s="48"/>
    </row>
    <row r="961" ht="15.75" customHeight="1">
      <c r="F961" s="48"/>
    </row>
    <row r="962" ht="15.75" customHeight="1">
      <c r="F962" s="48"/>
    </row>
    <row r="963" ht="15.75" customHeight="1">
      <c r="F963" s="48"/>
    </row>
    <row r="964" ht="15.75" customHeight="1">
      <c r="F964" s="48"/>
    </row>
    <row r="965" ht="15.75" customHeight="1">
      <c r="F965" s="48"/>
    </row>
    <row r="966" ht="15.75" customHeight="1">
      <c r="F966" s="48"/>
    </row>
    <row r="967" ht="15.75" customHeight="1">
      <c r="F967" s="48"/>
    </row>
    <row r="968" ht="15.75" customHeight="1">
      <c r="F968" s="48"/>
    </row>
    <row r="969" ht="15.75" customHeight="1">
      <c r="F969" s="48"/>
    </row>
    <row r="970" ht="15.75" customHeight="1">
      <c r="F970" s="48"/>
    </row>
    <row r="971" ht="15.75" customHeight="1">
      <c r="F971" s="48"/>
    </row>
    <row r="972" ht="15.75" customHeight="1">
      <c r="F972" s="48"/>
    </row>
    <row r="973" ht="15.75" customHeight="1">
      <c r="F973" s="48"/>
    </row>
    <row r="974" ht="15.75" customHeight="1">
      <c r="F974" s="48"/>
    </row>
    <row r="975" ht="15.75" customHeight="1">
      <c r="F975" s="48"/>
    </row>
    <row r="976" ht="15.75" customHeight="1">
      <c r="F976" s="48"/>
    </row>
    <row r="977" ht="15.75" customHeight="1">
      <c r="F977" s="48"/>
    </row>
    <row r="978" ht="15.75" customHeight="1">
      <c r="F978" s="48"/>
    </row>
    <row r="979" ht="15.75" customHeight="1">
      <c r="F979" s="48"/>
    </row>
    <row r="980" ht="15.75" customHeight="1">
      <c r="F980" s="48"/>
    </row>
    <row r="981" ht="15.75" customHeight="1">
      <c r="F981" s="48"/>
    </row>
    <row r="982" ht="15.75" customHeight="1">
      <c r="F982" s="48"/>
    </row>
    <row r="983" ht="15.75" customHeight="1">
      <c r="F983" s="48"/>
    </row>
    <row r="984" ht="15.75" customHeight="1">
      <c r="F984" s="48"/>
    </row>
    <row r="985" ht="15.75" customHeight="1">
      <c r="F985" s="48"/>
    </row>
    <row r="986" ht="15.75" customHeight="1">
      <c r="F986" s="48"/>
    </row>
    <row r="987" ht="15.75" customHeight="1">
      <c r="F987" s="48"/>
    </row>
    <row r="988" ht="15.75" customHeight="1">
      <c r="F988" s="48"/>
    </row>
    <row r="989" ht="15.75" customHeight="1">
      <c r="F989" s="48"/>
    </row>
    <row r="990" ht="15.75" customHeight="1">
      <c r="F990" s="48"/>
    </row>
    <row r="991" ht="15.75" customHeight="1">
      <c r="F991" s="48"/>
    </row>
    <row r="992" ht="15.75" customHeight="1">
      <c r="F992" s="48"/>
    </row>
    <row r="993" ht="15.75" customHeight="1">
      <c r="F993" s="48"/>
    </row>
    <row r="994" ht="15.75" customHeight="1">
      <c r="F994" s="48"/>
    </row>
    <row r="995" ht="15.75" customHeight="1">
      <c r="F995" s="48"/>
    </row>
    <row r="996" ht="15.75" customHeight="1">
      <c r="F996" s="48"/>
    </row>
    <row r="997" ht="15.75" customHeight="1">
      <c r="F997" s="48"/>
    </row>
    <row r="998" ht="15.75" customHeight="1">
      <c r="F998" s="48"/>
    </row>
    <row r="999" ht="15.75" customHeight="1">
      <c r="F999" s="48"/>
    </row>
    <row r="1000" ht="15.75" customHeight="1">
      <c r="F1000" s="48"/>
    </row>
    <row r="1001" ht="15.75" customHeight="1">
      <c r="F1001" s="48"/>
    </row>
    <row r="1002" ht="15.75" customHeight="1">
      <c r="F1002" s="48"/>
    </row>
    <row r="1003" ht="15.75" customHeight="1">
      <c r="F1003" s="48"/>
    </row>
    <row r="1004" ht="15.75" customHeight="1">
      <c r="F1004" s="48"/>
    </row>
    <row r="1005" ht="15.75" customHeight="1">
      <c r="F1005" s="48"/>
    </row>
    <row r="1006" ht="15.75" customHeight="1">
      <c r="F1006" s="48"/>
    </row>
    <row r="1007" ht="15.75" customHeight="1">
      <c r="F1007" s="48"/>
    </row>
    <row r="1008" ht="15.75" customHeight="1">
      <c r="F1008" s="48"/>
    </row>
    <row r="1009" ht="15.75" customHeight="1">
      <c r="F1009" s="48"/>
    </row>
    <row r="1010" ht="15.75" customHeight="1">
      <c r="F1010" s="48"/>
    </row>
    <row r="1011" ht="15.75" customHeight="1">
      <c r="F1011" s="4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36.14"/>
    <col customWidth="1" min="3" max="3" width="14.29"/>
    <col customWidth="1" min="4" max="5" width="15.43"/>
    <col customWidth="1" min="6" max="6" width="35.0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45823.0</v>
      </c>
      <c r="B2" s="5" t="s">
        <v>6</v>
      </c>
      <c r="C2" s="7">
        <v>50000.0</v>
      </c>
      <c r="D2" s="7">
        <v>0.0</v>
      </c>
      <c r="E2" s="7">
        <v>50000.0</v>
      </c>
      <c r="F2" s="5" t="s">
        <v>7</v>
      </c>
    </row>
    <row r="3">
      <c r="A3" s="4">
        <v>45826.0</v>
      </c>
      <c r="B3" s="6" t="s">
        <v>6</v>
      </c>
      <c r="C3" s="8">
        <v>170000.0</v>
      </c>
      <c r="D3" s="8">
        <v>0.0</v>
      </c>
      <c r="E3" s="8">
        <v>220000.0</v>
      </c>
      <c r="F3" s="6" t="s">
        <v>9</v>
      </c>
    </row>
    <row r="4">
      <c r="A4" s="3">
        <v>45848.0</v>
      </c>
      <c r="B4" s="5" t="s">
        <v>6</v>
      </c>
      <c r="C4" s="7">
        <v>150000.0</v>
      </c>
      <c r="D4" s="7">
        <v>0.0</v>
      </c>
      <c r="E4" s="7">
        <v>370000.0</v>
      </c>
      <c r="F4" s="5" t="s">
        <v>12</v>
      </c>
    </row>
    <row r="5">
      <c r="A5" s="3">
        <v>45869.0</v>
      </c>
      <c r="B5" s="5" t="s">
        <v>10</v>
      </c>
      <c r="C5" s="7">
        <v>0.0</v>
      </c>
      <c r="D5" s="7">
        <v>125800.0</v>
      </c>
      <c r="E5" s="7">
        <v>131684.0</v>
      </c>
      <c r="F5" s="5" t="s">
        <v>7</v>
      </c>
    </row>
    <row r="6">
      <c r="A6" s="4">
        <v>45869.0</v>
      </c>
      <c r="B6" s="6" t="s">
        <v>10</v>
      </c>
      <c r="C6" s="8">
        <v>0.0</v>
      </c>
      <c r="D6" s="8">
        <v>160402.0</v>
      </c>
      <c r="E6" s="8">
        <v>257484.0</v>
      </c>
      <c r="F6" s="6" t="s">
        <v>7</v>
      </c>
    </row>
    <row r="7">
      <c r="A7" s="3">
        <v>45869.0</v>
      </c>
      <c r="B7" s="5" t="s">
        <v>10</v>
      </c>
      <c r="C7" s="7">
        <v>0.0</v>
      </c>
      <c r="D7" s="7">
        <v>40114.0</v>
      </c>
      <c r="E7" s="7">
        <v>417886.0</v>
      </c>
      <c r="F7" s="5" t="s">
        <v>7</v>
      </c>
    </row>
    <row r="8">
      <c r="A8" s="4">
        <v>45869.0</v>
      </c>
      <c r="B8" s="6" t="s">
        <v>6</v>
      </c>
      <c r="C8" s="8">
        <v>88000.0</v>
      </c>
      <c r="D8" s="8">
        <v>0.0</v>
      </c>
      <c r="E8" s="8">
        <v>458000.0</v>
      </c>
      <c r="F8" s="6" t="s">
        <v>7</v>
      </c>
    </row>
    <row r="9">
      <c r="A9" s="4">
        <v>45871.0</v>
      </c>
      <c r="B9" s="6" t="s">
        <v>6</v>
      </c>
      <c r="C9" s="8">
        <v>35000.0</v>
      </c>
      <c r="D9" s="8">
        <v>0.0</v>
      </c>
      <c r="E9" s="8">
        <v>166684.0</v>
      </c>
      <c r="F9" s="6" t="s">
        <v>16</v>
      </c>
    </row>
    <row r="10">
      <c r="A10" s="4">
        <v>45875.0</v>
      </c>
      <c r="B10" s="6" t="s">
        <v>6</v>
      </c>
      <c r="C10" s="8">
        <v>28800.0</v>
      </c>
      <c r="D10" s="8">
        <v>0.0</v>
      </c>
      <c r="E10" s="8">
        <v>44554.0</v>
      </c>
      <c r="F10" s="6" t="s">
        <v>7</v>
      </c>
    </row>
    <row r="11">
      <c r="A11" s="3">
        <v>45875.0</v>
      </c>
      <c r="B11" s="5" t="s">
        <v>10</v>
      </c>
      <c r="C11" s="7">
        <v>0.0</v>
      </c>
      <c r="D11" s="7">
        <v>150930.0</v>
      </c>
      <c r="E11" s="7">
        <v>15754.0</v>
      </c>
      <c r="F11" s="5"/>
    </row>
    <row r="12">
      <c r="A12" s="3">
        <v>45881.0</v>
      </c>
      <c r="B12" s="5" t="s">
        <v>10</v>
      </c>
      <c r="C12" s="7">
        <v>0.0</v>
      </c>
      <c r="D12" s="7">
        <v>88000.0</v>
      </c>
      <c r="E12" s="7">
        <v>-43446.0</v>
      </c>
      <c r="F12" s="5"/>
    </row>
    <row r="13">
      <c r="A13" s="4">
        <v>45890.0</v>
      </c>
      <c r="B13" s="6" t="s">
        <v>6</v>
      </c>
      <c r="C13" s="8">
        <v>30400.0</v>
      </c>
      <c r="D13" s="8">
        <v>0.0</v>
      </c>
      <c r="E13" s="8">
        <v>-13046.0</v>
      </c>
      <c r="F13" s="6" t="s">
        <v>7</v>
      </c>
    </row>
    <row r="14">
      <c r="A14" s="3">
        <v>45894.0</v>
      </c>
      <c r="B14" s="5" t="s">
        <v>10</v>
      </c>
      <c r="C14" s="7">
        <v>0.0</v>
      </c>
      <c r="D14" s="7">
        <v>30000.0</v>
      </c>
      <c r="E14" s="7">
        <v>-43046.0</v>
      </c>
      <c r="F14" s="5"/>
    </row>
    <row r="15">
      <c r="A15" s="4">
        <v>45903.0</v>
      </c>
      <c r="B15" s="6" t="s">
        <v>6</v>
      </c>
      <c r="C15" s="8">
        <v>58400.0</v>
      </c>
      <c r="D15" s="8">
        <v>0.0</v>
      </c>
      <c r="E15" s="8">
        <v>15354.0</v>
      </c>
      <c r="F15" s="6" t="s">
        <v>7</v>
      </c>
    </row>
    <row r="16">
      <c r="A16" s="4">
        <v>45906.0</v>
      </c>
      <c r="B16" s="6" t="s">
        <v>6</v>
      </c>
      <c r="C16" s="8">
        <v>120800.0</v>
      </c>
      <c r="D16" s="8">
        <v>0.0</v>
      </c>
      <c r="E16" s="8">
        <v>34154.0</v>
      </c>
      <c r="F16" s="6" t="s">
        <v>24</v>
      </c>
    </row>
    <row r="17">
      <c r="A17" s="3">
        <v>45906.0</v>
      </c>
      <c r="B17" s="5" t="s">
        <v>10</v>
      </c>
      <c r="C17" s="7">
        <v>0.0</v>
      </c>
      <c r="D17" s="7">
        <v>102000.0</v>
      </c>
      <c r="E17" s="7">
        <v>-86646.0</v>
      </c>
      <c r="F17" s="5"/>
    </row>
    <row r="18">
      <c r="A18" s="3">
        <v>45908.0</v>
      </c>
      <c r="B18" s="5" t="s">
        <v>6</v>
      </c>
      <c r="C18" s="7">
        <v>38000.0</v>
      </c>
      <c r="D18" s="7">
        <v>0.0</v>
      </c>
      <c r="E18" s="7">
        <v>72154.0</v>
      </c>
      <c r="F18" s="5" t="s">
        <v>26</v>
      </c>
    </row>
    <row r="19">
      <c r="A19" s="4">
        <v>45909.0</v>
      </c>
      <c r="B19" s="6" t="s">
        <v>6</v>
      </c>
      <c r="C19" s="8">
        <v>103360.0</v>
      </c>
      <c r="D19" s="8">
        <v>0.0</v>
      </c>
      <c r="E19" s="8">
        <v>175514.0</v>
      </c>
      <c r="F19" s="6" t="s">
        <v>7</v>
      </c>
    </row>
    <row r="20">
      <c r="A20" s="3">
        <v>45910.0</v>
      </c>
      <c r="B20" s="5" t="s">
        <v>6</v>
      </c>
      <c r="C20" s="7">
        <v>27100.0</v>
      </c>
      <c r="D20" s="7">
        <v>0.0</v>
      </c>
      <c r="E20" s="7">
        <v>202614.0</v>
      </c>
      <c r="F20" s="5" t="s">
        <v>7</v>
      </c>
    </row>
    <row r="21" ht="15.75" customHeight="1">
      <c r="A21" s="4">
        <v>45914.0</v>
      </c>
      <c r="B21" s="6" t="s">
        <v>6</v>
      </c>
      <c r="C21" s="8">
        <v>63920.0</v>
      </c>
      <c r="D21" s="8">
        <v>0.0</v>
      </c>
      <c r="E21" s="8">
        <v>266534.0</v>
      </c>
      <c r="F21" s="6" t="s">
        <v>28</v>
      </c>
    </row>
    <row r="22" ht="15.75" customHeight="1">
      <c r="A22" s="3">
        <v>45915.0</v>
      </c>
      <c r="B22" s="5" t="s">
        <v>6</v>
      </c>
      <c r="C22" s="7">
        <v>6080.0</v>
      </c>
      <c r="D22" s="7">
        <v>0.0</v>
      </c>
      <c r="E22" s="7">
        <v>272614.0</v>
      </c>
      <c r="F22" s="5" t="s">
        <v>29</v>
      </c>
    </row>
    <row r="23" ht="15.75" customHeight="1">
      <c r="A23" s="4">
        <v>45917.0</v>
      </c>
      <c r="B23" s="6" t="s">
        <v>10</v>
      </c>
      <c r="C23" s="8">
        <v>0.0</v>
      </c>
      <c r="D23" s="8">
        <v>262160.0</v>
      </c>
      <c r="E23" s="8">
        <v>10454.0</v>
      </c>
      <c r="F23" s="6"/>
    </row>
    <row r="24" ht="15.75" customHeight="1">
      <c r="A24" s="3">
        <v>45921.0</v>
      </c>
      <c r="B24" s="5" t="s">
        <v>6</v>
      </c>
      <c r="C24" s="7">
        <v>45600.0</v>
      </c>
      <c r="D24" s="7">
        <v>0.0</v>
      </c>
      <c r="E24" s="7">
        <v>56054.0</v>
      </c>
      <c r="F24" s="5" t="s">
        <v>31</v>
      </c>
    </row>
    <row r="25" ht="15.75" customHeight="1">
      <c r="A25" s="4">
        <v>45923.0</v>
      </c>
      <c r="B25" s="6" t="s">
        <v>6</v>
      </c>
      <c r="C25" s="8">
        <v>30400.0</v>
      </c>
      <c r="D25" s="8">
        <v>0.0</v>
      </c>
      <c r="E25" s="8">
        <v>86454.0</v>
      </c>
      <c r="F25" s="6" t="s">
        <v>32</v>
      </c>
    </row>
    <row r="26" ht="15.75" customHeight="1">
      <c r="A26" s="3">
        <v>45930.0</v>
      </c>
      <c r="B26" s="5" t="s">
        <v>6</v>
      </c>
      <c r="C26" s="7">
        <v>52900.0</v>
      </c>
      <c r="D26" s="7">
        <v>0.0</v>
      </c>
      <c r="E26" s="7">
        <v>-40246.0</v>
      </c>
      <c r="F26" s="5" t="s">
        <v>32</v>
      </c>
    </row>
    <row r="27" ht="15.75" customHeight="1">
      <c r="A27" s="4">
        <v>45930.0</v>
      </c>
      <c r="B27" s="6" t="s">
        <v>10</v>
      </c>
      <c r="C27" s="8">
        <v>0.0</v>
      </c>
      <c r="D27" s="8">
        <v>103600.0</v>
      </c>
      <c r="E27" s="8">
        <v>-93146.0</v>
      </c>
      <c r="F27" s="6"/>
    </row>
    <row r="28" ht="15.75" customHeight="1">
      <c r="A28" s="3">
        <v>45930.0</v>
      </c>
      <c r="B28" s="5" t="s">
        <v>10</v>
      </c>
      <c r="C28" s="7">
        <v>0.0</v>
      </c>
      <c r="D28" s="7">
        <v>76000.0</v>
      </c>
      <c r="E28" s="7">
        <v>10454.0</v>
      </c>
      <c r="F28" s="5"/>
    </row>
    <row r="29" ht="15.75" customHeight="1">
      <c r="A29" s="4">
        <v>45939.0</v>
      </c>
      <c r="B29" s="6" t="s">
        <v>6</v>
      </c>
      <c r="C29" s="8">
        <v>22500.0</v>
      </c>
      <c r="D29" s="8">
        <v>0.0</v>
      </c>
      <c r="E29" s="8">
        <v>-17746.0</v>
      </c>
      <c r="F29" s="6" t="s">
        <v>38</v>
      </c>
    </row>
    <row r="30" ht="15.75" customHeight="1">
      <c r="A30" s="3">
        <v>45942.0</v>
      </c>
      <c r="B30" s="5" t="s">
        <v>6</v>
      </c>
      <c r="C30" s="7">
        <v>60000.0</v>
      </c>
      <c r="D30" s="7">
        <v>0.0</v>
      </c>
      <c r="E30" s="7">
        <v>42254.0</v>
      </c>
      <c r="F30" s="5" t="s">
        <v>42</v>
      </c>
    </row>
    <row r="31" ht="15.75" customHeight="1">
      <c r="A31" s="3">
        <v>45943.0</v>
      </c>
      <c r="B31" s="5" t="s">
        <v>10</v>
      </c>
      <c r="C31" s="7">
        <v>0.0</v>
      </c>
      <c r="D31" s="7">
        <v>52900.0</v>
      </c>
      <c r="E31" s="7">
        <v>94354.0</v>
      </c>
      <c r="F31" s="5"/>
    </row>
    <row r="32" ht="15.75" customHeight="1">
      <c r="A32" s="4">
        <v>45943.0</v>
      </c>
      <c r="B32" s="6" t="s">
        <v>6</v>
      </c>
      <c r="C32" s="8">
        <v>105000.0</v>
      </c>
      <c r="D32" s="8">
        <v>0.0</v>
      </c>
      <c r="E32" s="8">
        <v>147254.0</v>
      </c>
      <c r="F32" s="6" t="s">
        <v>45</v>
      </c>
    </row>
    <row r="33" ht="15.75" customHeight="1">
      <c r="A33" s="4">
        <v>45944.0</v>
      </c>
      <c r="B33" s="6" t="s">
        <v>10</v>
      </c>
      <c r="C33" s="8">
        <v>0.0</v>
      </c>
      <c r="D33" s="8">
        <v>165000.0</v>
      </c>
      <c r="E33" s="8">
        <v>-70646.0</v>
      </c>
      <c r="F33" s="6"/>
    </row>
    <row r="34" ht="15.75" customHeight="1">
      <c r="A34" s="3">
        <v>45945.0</v>
      </c>
      <c r="B34" s="5" t="s">
        <v>6</v>
      </c>
      <c r="C34" s="7">
        <v>31200.0</v>
      </c>
      <c r="D34" s="7">
        <v>0.0</v>
      </c>
      <c r="E34" s="7">
        <v>-39446.0</v>
      </c>
      <c r="F34" s="5" t="s">
        <v>50</v>
      </c>
    </row>
    <row r="35" ht="15.75" customHeight="1">
      <c r="A35" s="4">
        <v>45948.0</v>
      </c>
      <c r="B35" s="6" t="s">
        <v>6</v>
      </c>
      <c r="C35" s="8">
        <v>15000.0</v>
      </c>
      <c r="D35" s="8">
        <v>0.0</v>
      </c>
      <c r="E35" s="8">
        <v>-24446.0</v>
      </c>
      <c r="F35" s="6" t="s">
        <v>51</v>
      </c>
    </row>
    <row r="36" ht="15.75" customHeight="1">
      <c r="A36" s="3">
        <v>45949.0</v>
      </c>
      <c r="B36" s="5" t="s">
        <v>6</v>
      </c>
      <c r="C36" s="7">
        <v>60000.0</v>
      </c>
      <c r="D36" s="7">
        <v>0.0</v>
      </c>
      <c r="E36" s="7">
        <v>35554.0</v>
      </c>
      <c r="F36" s="5" t="s">
        <v>55</v>
      </c>
    </row>
    <row r="37" ht="15.75" customHeight="1">
      <c r="A37" s="4">
        <v>45950.0</v>
      </c>
      <c r="B37" s="6" t="s">
        <v>6</v>
      </c>
      <c r="C37" s="8">
        <v>79500.0</v>
      </c>
      <c r="D37" s="8">
        <v>0.0</v>
      </c>
      <c r="E37" s="8">
        <v>115054.0</v>
      </c>
      <c r="F37" s="6" t="s">
        <v>58</v>
      </c>
    </row>
    <row r="38" ht="15.75" customHeight="1">
      <c r="A38" s="3">
        <v>45953.0</v>
      </c>
      <c r="B38" s="5" t="s">
        <v>6</v>
      </c>
      <c r="C38" s="7">
        <v>31960.0</v>
      </c>
      <c r="D38" s="7">
        <v>0.0</v>
      </c>
      <c r="E38" s="7">
        <v>147014.0</v>
      </c>
      <c r="F38" s="5" t="s">
        <v>60</v>
      </c>
    </row>
    <row r="39" ht="15.75" customHeight="1">
      <c r="A39" s="4">
        <v>45956.0</v>
      </c>
      <c r="B39" s="6" t="s">
        <v>6</v>
      </c>
      <c r="C39" s="8">
        <v>6800.0</v>
      </c>
      <c r="D39" s="8">
        <v>0.0</v>
      </c>
      <c r="E39" s="8">
        <v>153814.0</v>
      </c>
      <c r="F39" s="6" t="s">
        <v>62</v>
      </c>
    </row>
    <row r="40" ht="15.75" customHeight="1">
      <c r="A40" s="3">
        <v>45958.0</v>
      </c>
      <c r="B40" s="5" t="s">
        <v>10</v>
      </c>
      <c r="C40" s="7">
        <v>0.0</v>
      </c>
      <c r="D40" s="7">
        <v>22500.0</v>
      </c>
      <c r="E40" s="7">
        <v>131314.0</v>
      </c>
      <c r="F40" s="5"/>
    </row>
    <row r="41" ht="15.75" customHeight="1">
      <c r="A41" s="4">
        <v>45963.0</v>
      </c>
      <c r="B41" s="6" t="s">
        <v>6</v>
      </c>
      <c r="C41" s="8">
        <v>37500.0</v>
      </c>
      <c r="D41" s="8">
        <v>0.0</v>
      </c>
      <c r="E41" s="8">
        <v>168814.0</v>
      </c>
      <c r="F41" s="6" t="s">
        <v>66</v>
      </c>
    </row>
    <row r="42" ht="15.75" customHeight="1">
      <c r="A42" s="3">
        <v>45965.0</v>
      </c>
      <c r="B42" s="5" t="s">
        <v>10</v>
      </c>
      <c r="C42" s="7">
        <v>0.0</v>
      </c>
      <c r="D42" s="7">
        <v>223000.0</v>
      </c>
      <c r="E42" s="7">
        <v>-54186.0</v>
      </c>
      <c r="F42" s="5"/>
    </row>
    <row r="43" ht="15.75" customHeight="1">
      <c r="A43" s="4">
        <v>45966.0</v>
      </c>
      <c r="B43" s="6" t="s">
        <v>6</v>
      </c>
      <c r="C43" s="8">
        <v>58500.0</v>
      </c>
      <c r="D43" s="8">
        <v>0.0</v>
      </c>
      <c r="E43" s="8">
        <v>4314.0</v>
      </c>
      <c r="F43" s="6" t="s">
        <v>69</v>
      </c>
    </row>
    <row r="44" ht="15.75" customHeight="1">
      <c r="A44" s="3">
        <v>45971.0</v>
      </c>
      <c r="B44" s="5" t="s">
        <v>6</v>
      </c>
      <c r="C44" s="7">
        <v>31500.0</v>
      </c>
      <c r="D44" s="7">
        <v>0.0</v>
      </c>
      <c r="E44" s="7">
        <v>35814.0</v>
      </c>
      <c r="F44" s="5" t="s">
        <v>74</v>
      </c>
    </row>
    <row r="45" ht="15.75" customHeight="1">
      <c r="A45" s="4">
        <v>45972.0</v>
      </c>
      <c r="B45" s="6" t="s">
        <v>6</v>
      </c>
      <c r="C45" s="8">
        <v>116000.0</v>
      </c>
      <c r="D45" s="8">
        <v>0.0</v>
      </c>
      <c r="E45" s="8">
        <v>151814.0</v>
      </c>
      <c r="F45" s="6" t="s">
        <v>75</v>
      </c>
    </row>
    <row r="46" ht="15.75" customHeight="1">
      <c r="A46" s="3">
        <v>45980.0</v>
      </c>
      <c r="B46" s="5" t="s">
        <v>6</v>
      </c>
      <c r="C46" s="7">
        <v>40000.0</v>
      </c>
      <c r="D46" s="7">
        <v>0.0</v>
      </c>
      <c r="E46" s="7">
        <v>191814.0</v>
      </c>
      <c r="F46" s="5" t="s">
        <v>80</v>
      </c>
    </row>
    <row r="47" ht="15.75" customHeight="1">
      <c r="A47" s="4">
        <v>45984.0</v>
      </c>
      <c r="B47" s="6" t="s">
        <v>6</v>
      </c>
      <c r="C47" s="8">
        <v>52500.0</v>
      </c>
      <c r="D47" s="8">
        <v>0.0</v>
      </c>
      <c r="E47" s="8">
        <v>244314.0</v>
      </c>
      <c r="F47" s="6" t="s">
        <v>82</v>
      </c>
    </row>
    <row r="48" ht="15.75" customHeight="1">
      <c r="A48" s="3">
        <v>45985.0</v>
      </c>
      <c r="B48" s="5" t="s">
        <v>6</v>
      </c>
      <c r="C48" s="7">
        <v>16000.0</v>
      </c>
      <c r="D48" s="7">
        <v>0.0</v>
      </c>
      <c r="E48" s="7">
        <v>260314.0</v>
      </c>
      <c r="F48" s="5" t="s">
        <v>85</v>
      </c>
    </row>
    <row r="49" ht="15.75" customHeight="1">
      <c r="A49" s="4">
        <v>45987.0</v>
      </c>
      <c r="B49" s="6" t="s">
        <v>6</v>
      </c>
      <c r="C49" s="8">
        <v>32000.0</v>
      </c>
      <c r="D49" s="8">
        <v>0.0</v>
      </c>
      <c r="E49" s="8">
        <v>292314.0</v>
      </c>
      <c r="F49" s="6" t="s">
        <v>88</v>
      </c>
    </row>
    <row r="50" ht="15.75" customHeight="1">
      <c r="A50" s="3">
        <v>45991.0</v>
      </c>
      <c r="B50" s="5" t="s">
        <v>10</v>
      </c>
      <c r="C50" s="7">
        <v>0.0</v>
      </c>
      <c r="D50" s="7">
        <v>269000.0</v>
      </c>
      <c r="E50" s="7">
        <v>23314.0</v>
      </c>
      <c r="F50" s="5"/>
    </row>
    <row r="51" ht="15.75" customHeight="1">
      <c r="A51" s="4">
        <v>45999.0</v>
      </c>
      <c r="B51" s="6" t="s">
        <v>6</v>
      </c>
      <c r="C51" s="8">
        <v>21000.0</v>
      </c>
      <c r="D51" s="8">
        <v>0.0</v>
      </c>
      <c r="E51" s="8">
        <v>44314.0</v>
      </c>
      <c r="F51" s="6" t="s">
        <v>94</v>
      </c>
    </row>
    <row r="52" ht="15.75" customHeight="1">
      <c r="A52" s="3">
        <v>46006.0</v>
      </c>
      <c r="B52" s="5" t="s">
        <v>6</v>
      </c>
      <c r="C52" s="7">
        <v>88200.0</v>
      </c>
      <c r="D52" s="7">
        <v>0.0</v>
      </c>
      <c r="E52" s="7">
        <v>132514.0</v>
      </c>
      <c r="F52" s="5" t="s">
        <v>97</v>
      </c>
    </row>
    <row r="53" ht="15.75" customHeight="1">
      <c r="A53" s="4">
        <v>46022.0</v>
      </c>
      <c r="B53" s="6" t="s">
        <v>10</v>
      </c>
      <c r="C53" s="8">
        <v>0.0</v>
      </c>
      <c r="D53" s="8">
        <v>107000.0</v>
      </c>
      <c r="E53" s="8">
        <f t="shared" ref="E53:E61" si="1">E52+C53-D53</f>
        <v>25514</v>
      </c>
      <c r="F53" s="6"/>
    </row>
    <row r="54" ht="15.75" customHeight="1">
      <c r="A54" s="27">
        <v>46032.0</v>
      </c>
      <c r="B54" s="28" t="s">
        <v>6</v>
      </c>
      <c r="C54" s="29">
        <v>46000.0</v>
      </c>
      <c r="D54" s="30"/>
      <c r="E54" s="31">
        <f t="shared" si="1"/>
        <v>71514</v>
      </c>
      <c r="F54" s="32" t="s">
        <v>109</v>
      </c>
    </row>
    <row r="55" ht="15.75" customHeight="1">
      <c r="A55" s="27">
        <v>46033.0</v>
      </c>
      <c r="B55" s="28" t="s">
        <v>6</v>
      </c>
      <c r="C55" s="29">
        <v>24000.0</v>
      </c>
      <c r="D55" s="30"/>
      <c r="E55" s="31">
        <f t="shared" si="1"/>
        <v>95514</v>
      </c>
      <c r="F55" s="32" t="s">
        <v>112</v>
      </c>
    </row>
    <row r="56" ht="15.75" customHeight="1">
      <c r="A56" s="27">
        <v>46040.0</v>
      </c>
      <c r="B56" s="28" t="s">
        <v>6</v>
      </c>
      <c r="C56" s="29">
        <v>98000.0</v>
      </c>
      <c r="D56" s="30"/>
      <c r="E56" s="31">
        <f t="shared" si="1"/>
        <v>193514</v>
      </c>
      <c r="F56" s="32" t="s">
        <v>114</v>
      </c>
    </row>
    <row r="57" ht="15.75" customHeight="1">
      <c r="A57" s="27">
        <v>46042.0</v>
      </c>
      <c r="B57" s="28" t="s">
        <v>6</v>
      </c>
      <c r="C57" s="29">
        <v>56000.0</v>
      </c>
      <c r="D57" s="30"/>
      <c r="E57" s="31">
        <f t="shared" si="1"/>
        <v>249514</v>
      </c>
      <c r="F57" s="32" t="s">
        <v>117</v>
      </c>
    </row>
    <row r="58" ht="15.75" customHeight="1">
      <c r="A58" s="27">
        <v>46049.0</v>
      </c>
      <c r="B58" s="28" t="s">
        <v>6</v>
      </c>
      <c r="C58" s="29">
        <v>60000.0</v>
      </c>
      <c r="D58" s="30"/>
      <c r="E58" s="31">
        <f t="shared" si="1"/>
        <v>309514</v>
      </c>
      <c r="F58" s="32" t="s">
        <v>119</v>
      </c>
    </row>
    <row r="59" ht="15.75" customHeight="1">
      <c r="A59" s="27">
        <v>46050.0</v>
      </c>
      <c r="B59" s="28" t="s">
        <v>6</v>
      </c>
      <c r="C59" s="29">
        <v>15000.0</v>
      </c>
      <c r="D59" s="30"/>
      <c r="E59" s="31">
        <f t="shared" si="1"/>
        <v>324514</v>
      </c>
      <c r="F59" s="32" t="s">
        <v>122</v>
      </c>
    </row>
    <row r="60" ht="15.75" customHeight="1">
      <c r="A60" s="27">
        <v>46054.0</v>
      </c>
      <c r="B60" s="6" t="s">
        <v>10</v>
      </c>
      <c r="C60" s="33"/>
      <c r="D60" s="34">
        <v>290000.0</v>
      </c>
      <c r="E60" s="8">
        <f t="shared" si="1"/>
        <v>34514</v>
      </c>
    </row>
    <row r="61" ht="15.75" customHeight="1">
      <c r="A61" s="27">
        <v>46054.0</v>
      </c>
      <c r="B61" s="6" t="s">
        <v>10</v>
      </c>
      <c r="C61" s="33"/>
      <c r="D61" s="34">
        <v>25500.0</v>
      </c>
      <c r="E61" s="8">
        <f t="shared" si="1"/>
        <v>9014</v>
      </c>
      <c r="F61" s="35" t="s">
        <v>126</v>
      </c>
    </row>
    <row r="62" ht="15.75" customHeight="1">
      <c r="A62" s="27">
        <v>46057.0</v>
      </c>
      <c r="B62" s="5" t="s">
        <v>6</v>
      </c>
      <c r="C62" s="29">
        <v>102000.0</v>
      </c>
      <c r="D62" s="30"/>
      <c r="E62" s="36">
        <f>C62-D62</f>
        <v>102000</v>
      </c>
      <c r="F62" s="32" t="s">
        <v>135</v>
      </c>
    </row>
    <row r="63" ht="15.75" customHeight="1">
      <c r="A63" s="27">
        <v>46058.0</v>
      </c>
      <c r="B63" s="5" t="s">
        <v>6</v>
      </c>
      <c r="C63" s="29">
        <v>60000.0</v>
      </c>
      <c r="D63" s="30"/>
      <c r="E63" s="31">
        <f t="shared" ref="E63:E129" si="2">E62+C63-D63</f>
        <v>162000</v>
      </c>
      <c r="F63" s="32" t="s">
        <v>140</v>
      </c>
    </row>
    <row r="64" ht="15.75" customHeight="1">
      <c r="A64" s="27">
        <v>46061.0</v>
      </c>
      <c r="B64" s="5" t="s">
        <v>6</v>
      </c>
      <c r="C64" s="29">
        <v>85000.0</v>
      </c>
      <c r="D64" s="30"/>
      <c r="E64" s="31">
        <f t="shared" si="2"/>
        <v>247000</v>
      </c>
      <c r="F64" s="32" t="s">
        <v>144</v>
      </c>
    </row>
    <row r="65" ht="15.75" customHeight="1">
      <c r="A65" s="27">
        <v>46064.0</v>
      </c>
      <c r="B65" s="5" t="s">
        <v>6</v>
      </c>
      <c r="C65" s="29">
        <v>199500.0</v>
      </c>
      <c r="D65" s="30"/>
      <c r="E65" s="31">
        <f t="shared" si="2"/>
        <v>446500</v>
      </c>
      <c r="F65" s="32" t="s">
        <v>147</v>
      </c>
    </row>
    <row r="66" ht="15.75" customHeight="1">
      <c r="A66" s="42">
        <v>46068.0</v>
      </c>
      <c r="B66" s="5" t="s">
        <v>6</v>
      </c>
      <c r="C66" s="44">
        <v>59000.0</v>
      </c>
      <c r="D66" s="45"/>
      <c r="E66" s="31">
        <f t="shared" si="2"/>
        <v>505500</v>
      </c>
      <c r="F66" s="32" t="s">
        <v>149</v>
      </c>
    </row>
    <row r="67" ht="15.75" customHeight="1">
      <c r="A67" s="27">
        <v>46070.0</v>
      </c>
      <c r="B67" s="5" t="s">
        <v>6</v>
      </c>
      <c r="C67" s="29">
        <v>42000.0</v>
      </c>
      <c r="D67" s="30"/>
      <c r="E67" s="31">
        <f t="shared" si="2"/>
        <v>547500</v>
      </c>
      <c r="F67" s="32" t="s">
        <v>152</v>
      </c>
    </row>
    <row r="68" ht="15.75" customHeight="1">
      <c r="A68" s="27">
        <v>46075.0</v>
      </c>
      <c r="B68" s="5" t="s">
        <v>6</v>
      </c>
      <c r="C68" s="29">
        <v>60000.0</v>
      </c>
      <c r="D68" s="30"/>
      <c r="E68" s="31">
        <f t="shared" si="2"/>
        <v>607500</v>
      </c>
      <c r="F68" s="32" t="s">
        <v>155</v>
      </c>
    </row>
    <row r="69" ht="15.75" customHeight="1">
      <c r="A69" s="27">
        <v>46076.0</v>
      </c>
      <c r="B69" s="5" t="s">
        <v>6</v>
      </c>
      <c r="C69" s="29">
        <v>23500.0</v>
      </c>
      <c r="D69" s="30"/>
      <c r="E69" s="31">
        <f t="shared" si="2"/>
        <v>631000</v>
      </c>
      <c r="F69" s="32" t="s">
        <v>159</v>
      </c>
    </row>
    <row r="70" ht="15.75" customHeight="1">
      <c r="A70" s="27">
        <v>46077.0</v>
      </c>
      <c r="B70" s="5" t="s">
        <v>6</v>
      </c>
      <c r="C70" s="29">
        <v>15200.0</v>
      </c>
      <c r="D70" s="30"/>
      <c r="E70" s="31">
        <f t="shared" si="2"/>
        <v>646200</v>
      </c>
      <c r="F70" s="32" t="s">
        <v>161</v>
      </c>
    </row>
    <row r="71" ht="15.75" customHeight="1">
      <c r="A71" s="27">
        <v>46078.0</v>
      </c>
      <c r="B71" s="5" t="s">
        <v>6</v>
      </c>
      <c r="C71" s="29">
        <v>18400.0</v>
      </c>
      <c r="D71" s="30"/>
      <c r="E71" s="31">
        <f t="shared" si="2"/>
        <v>664600</v>
      </c>
      <c r="F71" s="32" t="s">
        <v>162</v>
      </c>
    </row>
    <row r="72" ht="15.75" customHeight="1">
      <c r="A72" s="27">
        <v>46079.0</v>
      </c>
      <c r="B72" s="6" t="s">
        <v>10</v>
      </c>
      <c r="C72" s="33"/>
      <c r="D72" s="34">
        <v>600000.0</v>
      </c>
      <c r="E72" s="8">
        <f t="shared" si="2"/>
        <v>64600</v>
      </c>
    </row>
    <row r="73" ht="15.75" customHeight="1">
      <c r="A73" s="27">
        <v>46086.0</v>
      </c>
      <c r="B73" s="5" t="s">
        <v>6</v>
      </c>
      <c r="C73" s="29">
        <v>50000.0</v>
      </c>
      <c r="D73" s="30"/>
      <c r="E73" s="31">
        <f t="shared" si="2"/>
        <v>114600</v>
      </c>
      <c r="F73" s="32" t="s">
        <v>166</v>
      </c>
    </row>
    <row r="74" ht="15.75" customHeight="1">
      <c r="A74" s="27">
        <v>46090.0</v>
      </c>
      <c r="B74" s="5" t="s">
        <v>6</v>
      </c>
      <c r="C74" s="29">
        <v>13000.0</v>
      </c>
      <c r="D74" s="30"/>
      <c r="E74" s="31">
        <f t="shared" si="2"/>
        <v>127600</v>
      </c>
      <c r="F74" s="32" t="s">
        <v>168</v>
      </c>
    </row>
    <row r="75" ht="15.75" customHeight="1">
      <c r="A75" s="27">
        <v>46091.0</v>
      </c>
      <c r="B75" s="5" t="s">
        <v>6</v>
      </c>
      <c r="C75" s="29">
        <v>37000.0</v>
      </c>
      <c r="D75" s="30"/>
      <c r="E75" s="31">
        <f t="shared" si="2"/>
        <v>164600</v>
      </c>
      <c r="F75" s="32" t="s">
        <v>169</v>
      </c>
    </row>
    <row r="76" ht="15.75" customHeight="1">
      <c r="A76" s="27">
        <v>46092.0</v>
      </c>
      <c r="B76" s="5" t="s">
        <v>6</v>
      </c>
      <c r="C76" s="29">
        <v>32000.0</v>
      </c>
      <c r="D76" s="30"/>
      <c r="E76" s="31">
        <f t="shared" si="2"/>
        <v>196600</v>
      </c>
      <c r="F76" s="32" t="s">
        <v>171</v>
      </c>
    </row>
    <row r="77" ht="15.75" customHeight="1">
      <c r="A77" s="27">
        <v>46092.0</v>
      </c>
      <c r="B77" s="5" t="s">
        <v>6</v>
      </c>
      <c r="C77" s="29">
        <v>61000.0</v>
      </c>
      <c r="D77" s="30"/>
      <c r="E77" s="31">
        <f t="shared" si="2"/>
        <v>257600</v>
      </c>
      <c r="F77" s="32" t="s">
        <v>175</v>
      </c>
    </row>
    <row r="78" ht="15.75" customHeight="1">
      <c r="A78" s="27">
        <v>46096.0</v>
      </c>
      <c r="B78" s="5" t="s">
        <v>6</v>
      </c>
      <c r="C78" s="29">
        <v>70200.0</v>
      </c>
      <c r="D78" s="30"/>
      <c r="E78" s="31">
        <f t="shared" si="2"/>
        <v>327800</v>
      </c>
      <c r="F78" s="32" t="s">
        <v>178</v>
      </c>
    </row>
    <row r="79" ht="15.75" customHeight="1">
      <c r="A79" s="27">
        <v>46097.0</v>
      </c>
      <c r="B79" s="5" t="s">
        <v>6</v>
      </c>
      <c r="C79" s="29">
        <v>74000.0</v>
      </c>
      <c r="D79" s="30"/>
      <c r="E79" s="31">
        <f t="shared" si="2"/>
        <v>401800</v>
      </c>
      <c r="F79" s="32" t="s">
        <v>181</v>
      </c>
    </row>
    <row r="80" ht="15.75" customHeight="1">
      <c r="A80" s="27">
        <v>46098.0</v>
      </c>
      <c r="B80" s="5" t="s">
        <v>6</v>
      </c>
      <c r="C80" s="29">
        <v>61000.0</v>
      </c>
      <c r="D80" s="30"/>
      <c r="E80" s="31">
        <f t="shared" si="2"/>
        <v>462800</v>
      </c>
      <c r="F80" s="32" t="s">
        <v>184</v>
      </c>
    </row>
    <row r="81" ht="15.75" customHeight="1">
      <c r="A81" s="27">
        <v>46099.0</v>
      </c>
      <c r="B81" s="5" t="s">
        <v>6</v>
      </c>
      <c r="C81" s="29">
        <v>49000.0</v>
      </c>
      <c r="D81" s="30"/>
      <c r="E81" s="31">
        <f t="shared" si="2"/>
        <v>511800</v>
      </c>
      <c r="F81" s="32" t="s">
        <v>189</v>
      </c>
    </row>
    <row r="82" ht="15.75" customHeight="1">
      <c r="A82" s="27">
        <v>46107.0</v>
      </c>
      <c r="B82" s="5" t="s">
        <v>6</v>
      </c>
      <c r="C82" s="29">
        <v>291000.0</v>
      </c>
      <c r="D82" s="30"/>
      <c r="E82" s="31">
        <f t="shared" si="2"/>
        <v>802800</v>
      </c>
      <c r="F82" s="32" t="s">
        <v>193</v>
      </c>
    </row>
    <row r="83" ht="15.75" customHeight="1">
      <c r="B83" s="5" t="s">
        <v>6</v>
      </c>
      <c r="C83" s="34">
        <v>157400.0</v>
      </c>
      <c r="D83" s="33"/>
      <c r="E83" s="8">
        <f t="shared" si="2"/>
        <v>960200</v>
      </c>
      <c r="F83" s="35" t="s">
        <v>196</v>
      </c>
    </row>
    <row r="84" ht="15.75" customHeight="1">
      <c r="B84" s="35" t="s">
        <v>197</v>
      </c>
      <c r="C84" s="33"/>
      <c r="D84" s="34">
        <v>40200.0</v>
      </c>
      <c r="E84" s="8">
        <f t="shared" si="2"/>
        <v>920000</v>
      </c>
    </row>
    <row r="85" ht="15.75" customHeight="1">
      <c r="B85" s="6" t="s">
        <v>10</v>
      </c>
      <c r="C85" s="33"/>
      <c r="D85" s="34">
        <v>920000.0</v>
      </c>
      <c r="E85" s="8">
        <f t="shared" si="2"/>
        <v>0</v>
      </c>
    </row>
    <row r="86" ht="15.75" customHeight="1">
      <c r="A86" s="43">
        <v>46113.0</v>
      </c>
      <c r="B86" s="5" t="s">
        <v>6</v>
      </c>
      <c r="C86" s="29">
        <v>50000.0</v>
      </c>
      <c r="D86" s="29"/>
      <c r="E86" s="31">
        <f t="shared" si="2"/>
        <v>50000</v>
      </c>
      <c r="F86" s="32" t="s">
        <v>203</v>
      </c>
    </row>
    <row r="87" ht="15.75" customHeight="1">
      <c r="A87" s="43">
        <v>46117.0</v>
      </c>
      <c r="B87" s="32" t="s">
        <v>6</v>
      </c>
      <c r="C87" s="29">
        <v>64000.0</v>
      </c>
      <c r="D87" s="29"/>
      <c r="E87" s="31">
        <f t="shared" si="2"/>
        <v>114000</v>
      </c>
      <c r="F87" s="32" t="s">
        <v>206</v>
      </c>
    </row>
    <row r="88" ht="15.75" customHeight="1">
      <c r="A88" s="43">
        <v>46118.0</v>
      </c>
      <c r="B88" s="32" t="s">
        <v>6</v>
      </c>
      <c r="C88" s="29">
        <v>132000.0</v>
      </c>
      <c r="D88" s="29"/>
      <c r="E88" s="31">
        <f t="shared" si="2"/>
        <v>246000</v>
      </c>
      <c r="F88" s="32" t="s">
        <v>209</v>
      </c>
    </row>
    <row r="89" ht="15.75" customHeight="1">
      <c r="A89" s="43">
        <v>46118.0</v>
      </c>
      <c r="B89" s="32" t="s">
        <v>6</v>
      </c>
      <c r="C89" s="29">
        <v>18000.0</v>
      </c>
      <c r="D89" s="29"/>
      <c r="E89" s="31">
        <f t="shared" si="2"/>
        <v>264000</v>
      </c>
      <c r="F89" s="32" t="s">
        <v>211</v>
      </c>
    </row>
    <row r="90" ht="15.75" customHeight="1">
      <c r="A90" s="43">
        <v>46119.0</v>
      </c>
      <c r="B90" s="32" t="s">
        <v>6</v>
      </c>
      <c r="C90" s="29">
        <v>67500.0</v>
      </c>
      <c r="D90" s="29"/>
      <c r="E90" s="31">
        <f t="shared" si="2"/>
        <v>331500</v>
      </c>
      <c r="F90" s="32" t="s">
        <v>215</v>
      </c>
    </row>
    <row r="91" ht="15.75" customHeight="1">
      <c r="A91" s="27">
        <v>46121.0</v>
      </c>
      <c r="B91" s="32" t="s">
        <v>6</v>
      </c>
      <c r="C91" s="29">
        <v>101600.0</v>
      </c>
      <c r="D91" s="29"/>
      <c r="E91" s="31">
        <f t="shared" si="2"/>
        <v>433100</v>
      </c>
      <c r="F91" s="32" t="s">
        <v>217</v>
      </c>
    </row>
    <row r="92" ht="15.75" customHeight="1">
      <c r="A92" s="27">
        <v>46121.0</v>
      </c>
      <c r="B92" s="32" t="s">
        <v>6</v>
      </c>
      <c r="C92" s="29">
        <v>15200.0</v>
      </c>
      <c r="D92" s="29"/>
      <c r="E92" s="31">
        <f t="shared" si="2"/>
        <v>448300</v>
      </c>
      <c r="F92" s="32" t="s">
        <v>220</v>
      </c>
    </row>
    <row r="93" ht="15.75" customHeight="1">
      <c r="A93" s="27">
        <v>46123.0</v>
      </c>
      <c r="B93" s="32" t="s">
        <v>6</v>
      </c>
      <c r="C93" s="29">
        <v>160500.0</v>
      </c>
      <c r="D93" s="29"/>
      <c r="E93" s="31">
        <f t="shared" si="2"/>
        <v>608800</v>
      </c>
      <c r="F93" s="32" t="s">
        <v>224</v>
      </c>
    </row>
    <row r="94" ht="15.75" customHeight="1">
      <c r="A94" s="27">
        <v>46124.0</v>
      </c>
      <c r="B94" s="32" t="s">
        <v>6</v>
      </c>
      <c r="C94" s="29">
        <v>124800.0</v>
      </c>
      <c r="D94" s="34"/>
      <c r="E94" s="31">
        <f t="shared" si="2"/>
        <v>733600</v>
      </c>
      <c r="F94" s="32" t="s">
        <v>226</v>
      </c>
    </row>
    <row r="95" ht="15.75" customHeight="1">
      <c r="A95" s="27">
        <v>46125.0</v>
      </c>
      <c r="B95" s="32" t="s">
        <v>6</v>
      </c>
      <c r="C95" s="29">
        <v>76400.0</v>
      </c>
      <c r="D95" s="34"/>
      <c r="E95" s="31">
        <f t="shared" si="2"/>
        <v>810000</v>
      </c>
      <c r="F95" s="32" t="s">
        <v>228</v>
      </c>
    </row>
    <row r="96" ht="15.75" customHeight="1">
      <c r="A96" s="27">
        <v>46125.0</v>
      </c>
      <c r="B96" s="6" t="s">
        <v>10</v>
      </c>
      <c r="C96" s="33"/>
      <c r="D96" s="34">
        <v>300000.0</v>
      </c>
      <c r="E96" s="31">
        <f t="shared" si="2"/>
        <v>510000</v>
      </c>
    </row>
    <row r="97" ht="15.75" customHeight="1">
      <c r="A97" s="27">
        <v>46126.0</v>
      </c>
      <c r="B97" s="32" t="s">
        <v>6</v>
      </c>
      <c r="C97" s="29">
        <v>93600.0</v>
      </c>
      <c r="D97" s="29"/>
      <c r="E97" s="31">
        <f t="shared" si="2"/>
        <v>603600</v>
      </c>
      <c r="F97" s="32" t="s">
        <v>232</v>
      </c>
    </row>
    <row r="98" ht="15.75" customHeight="1">
      <c r="A98" s="27">
        <v>46127.0</v>
      </c>
      <c r="B98" s="32" t="s">
        <v>6</v>
      </c>
      <c r="C98" s="68">
        <v>146200.0</v>
      </c>
      <c r="D98" s="29"/>
      <c r="E98" s="31">
        <f t="shared" si="2"/>
        <v>749800</v>
      </c>
      <c r="F98" s="32" t="s">
        <v>236</v>
      </c>
    </row>
    <row r="99" ht="15.75" customHeight="1">
      <c r="A99" s="27">
        <v>46128.0</v>
      </c>
      <c r="B99" s="32" t="s">
        <v>6</v>
      </c>
      <c r="C99" s="29">
        <v>58800.0</v>
      </c>
      <c r="D99" s="29"/>
      <c r="E99" s="31">
        <f t="shared" si="2"/>
        <v>808600</v>
      </c>
      <c r="F99" s="32" t="s">
        <v>240</v>
      </c>
    </row>
    <row r="100" ht="15.75" customHeight="1">
      <c r="A100" s="27">
        <v>46130.0</v>
      </c>
      <c r="B100" s="32" t="s">
        <v>6</v>
      </c>
      <c r="C100" s="29">
        <v>40000.0</v>
      </c>
      <c r="D100" s="29"/>
      <c r="E100" s="31">
        <f t="shared" si="2"/>
        <v>848600</v>
      </c>
      <c r="F100" s="32" t="s">
        <v>243</v>
      </c>
    </row>
    <row r="101" ht="15.75" customHeight="1">
      <c r="A101" s="27">
        <v>46132.0</v>
      </c>
      <c r="B101" s="32" t="s">
        <v>6</v>
      </c>
      <c r="C101" s="29">
        <v>42000.0</v>
      </c>
      <c r="D101" s="29"/>
      <c r="E101" s="31">
        <f t="shared" si="2"/>
        <v>890600</v>
      </c>
      <c r="F101" s="32" t="s">
        <v>246</v>
      </c>
    </row>
    <row r="102" ht="15.75" customHeight="1">
      <c r="A102" s="27">
        <v>46132.0</v>
      </c>
      <c r="B102" s="6" t="s">
        <v>10</v>
      </c>
      <c r="C102" s="33"/>
      <c r="D102" s="34">
        <v>400000.0</v>
      </c>
      <c r="E102" s="31">
        <f t="shared" si="2"/>
        <v>490600</v>
      </c>
    </row>
    <row r="103" ht="15.75" customHeight="1">
      <c r="A103" s="27">
        <v>46133.0</v>
      </c>
      <c r="B103" s="32" t="s">
        <v>6</v>
      </c>
      <c r="C103" s="29">
        <v>76000.0</v>
      </c>
      <c r="D103" s="34"/>
      <c r="E103" s="31">
        <f t="shared" si="2"/>
        <v>566600</v>
      </c>
      <c r="F103" s="32" t="s">
        <v>252</v>
      </c>
    </row>
    <row r="104" ht="15.75" customHeight="1">
      <c r="A104" s="27">
        <v>46134.0</v>
      </c>
      <c r="B104" s="32" t="s">
        <v>6</v>
      </c>
      <c r="C104" s="29">
        <v>39400.0</v>
      </c>
      <c r="D104" s="34"/>
      <c r="E104" s="31">
        <f t="shared" si="2"/>
        <v>606000</v>
      </c>
      <c r="F104" s="32" t="s">
        <v>254</v>
      </c>
    </row>
    <row r="105" ht="15.75" customHeight="1">
      <c r="A105" s="27">
        <v>46135.0</v>
      </c>
      <c r="B105" s="32" t="s">
        <v>6</v>
      </c>
      <c r="C105" s="29">
        <v>123200.0</v>
      </c>
      <c r="D105" s="34"/>
      <c r="E105" s="31">
        <f t="shared" si="2"/>
        <v>729200</v>
      </c>
      <c r="F105" s="32" t="s">
        <v>257</v>
      </c>
    </row>
    <row r="106" ht="15.75" customHeight="1">
      <c r="A106" s="27">
        <v>46138.0</v>
      </c>
      <c r="B106" s="32" t="s">
        <v>6</v>
      </c>
      <c r="C106" s="29">
        <v>182400.0</v>
      </c>
      <c r="D106" s="34"/>
      <c r="E106" s="31">
        <f t="shared" si="2"/>
        <v>911600</v>
      </c>
      <c r="F106" s="32" t="s">
        <v>258</v>
      </c>
    </row>
    <row r="107" ht="15.75" customHeight="1">
      <c r="A107" s="27">
        <v>46139.0</v>
      </c>
      <c r="B107" s="32" t="s">
        <v>6</v>
      </c>
      <c r="C107" s="34">
        <v>208960.0</v>
      </c>
      <c r="D107" s="33"/>
      <c r="E107" s="31">
        <f t="shared" si="2"/>
        <v>1120560</v>
      </c>
      <c r="F107" s="32" t="s">
        <v>261</v>
      </c>
    </row>
    <row r="108" ht="15.75" customHeight="1">
      <c r="B108" s="35" t="s">
        <v>263</v>
      </c>
      <c r="C108" s="33"/>
      <c r="D108" s="34">
        <v>7700.0</v>
      </c>
      <c r="E108" s="31">
        <f t="shared" si="2"/>
        <v>1112860</v>
      </c>
    </row>
    <row r="109" ht="15.75" customHeight="1">
      <c r="A109" s="27">
        <v>46141.0</v>
      </c>
      <c r="B109" s="32" t="s">
        <v>6</v>
      </c>
      <c r="C109" s="34">
        <v>13680.0</v>
      </c>
      <c r="D109" s="33"/>
      <c r="E109" s="31">
        <f t="shared" si="2"/>
        <v>1126540</v>
      </c>
      <c r="F109" s="32" t="s">
        <v>267</v>
      </c>
    </row>
    <row r="110" ht="15.75" customHeight="1">
      <c r="A110" s="27"/>
      <c r="B110" s="6" t="s">
        <v>10</v>
      </c>
      <c r="C110" s="33"/>
      <c r="D110" s="34">
        <v>500000.0</v>
      </c>
      <c r="E110" s="31">
        <f t="shared" si="2"/>
        <v>626540</v>
      </c>
    </row>
    <row r="111" ht="15.75" customHeight="1">
      <c r="A111" s="27">
        <v>46144.0</v>
      </c>
      <c r="B111" s="6" t="s">
        <v>10</v>
      </c>
      <c r="C111" s="33"/>
      <c r="D111" s="34">
        <v>600000.0</v>
      </c>
      <c r="E111" s="31">
        <f t="shared" si="2"/>
        <v>26540</v>
      </c>
    </row>
    <row r="112" ht="15.75" customHeight="1">
      <c r="A112" s="27">
        <v>46145.0</v>
      </c>
      <c r="B112" s="32" t="s">
        <v>6</v>
      </c>
      <c r="C112" s="34">
        <v>16000.0</v>
      </c>
      <c r="D112" s="33"/>
      <c r="E112" s="31">
        <f t="shared" si="2"/>
        <v>42540</v>
      </c>
      <c r="F112" s="32" t="s">
        <v>272</v>
      </c>
    </row>
    <row r="113" ht="15.75" customHeight="1">
      <c r="A113" s="27">
        <v>46152.0</v>
      </c>
      <c r="B113" s="32" t="s">
        <v>6</v>
      </c>
      <c r="C113" s="34">
        <v>65760.0</v>
      </c>
      <c r="D113" s="33"/>
      <c r="E113" s="31">
        <f t="shared" si="2"/>
        <v>108300</v>
      </c>
      <c r="F113" s="32" t="s">
        <v>274</v>
      </c>
    </row>
    <row r="114" ht="15.75" customHeight="1">
      <c r="A114" s="27">
        <v>46153.0</v>
      </c>
      <c r="B114" s="32" t="s">
        <v>6</v>
      </c>
      <c r="C114" s="34">
        <v>7200.0</v>
      </c>
      <c r="D114" s="33"/>
      <c r="E114" s="31">
        <f t="shared" si="2"/>
        <v>115500</v>
      </c>
      <c r="F114" s="32" t="s">
        <v>276</v>
      </c>
    </row>
    <row r="115" ht="15.75" customHeight="1">
      <c r="A115" s="27">
        <v>46154.0</v>
      </c>
      <c r="B115" s="32" t="s">
        <v>6</v>
      </c>
      <c r="C115" s="34">
        <v>28000.0</v>
      </c>
      <c r="D115" s="33"/>
      <c r="E115" s="31">
        <f t="shared" si="2"/>
        <v>143500</v>
      </c>
      <c r="F115" s="32" t="s">
        <v>278</v>
      </c>
    </row>
    <row r="116" ht="15.75" customHeight="1">
      <c r="A116" s="27">
        <v>46159.0</v>
      </c>
      <c r="B116" s="32" t="s">
        <v>6</v>
      </c>
      <c r="C116" s="34">
        <v>42880.0</v>
      </c>
      <c r="D116" s="33"/>
      <c r="E116" s="31">
        <f t="shared" si="2"/>
        <v>186380</v>
      </c>
      <c r="F116" s="32" t="s">
        <v>280</v>
      </c>
    </row>
    <row r="117" ht="15.75" customHeight="1">
      <c r="A117" s="27">
        <v>46166.0</v>
      </c>
      <c r="B117" s="32" t="s">
        <v>6</v>
      </c>
      <c r="C117" s="34">
        <v>36000.0</v>
      </c>
      <c r="D117" s="33"/>
      <c r="E117" s="31">
        <f t="shared" si="2"/>
        <v>222380</v>
      </c>
      <c r="F117" s="32" t="s">
        <v>281</v>
      </c>
    </row>
    <row r="118" ht="15.75" customHeight="1">
      <c r="A118" s="27">
        <v>46174.0</v>
      </c>
      <c r="B118" s="35" t="s">
        <v>10</v>
      </c>
      <c r="C118" s="33"/>
      <c r="D118" s="34">
        <v>220000.0</v>
      </c>
      <c r="E118" s="31">
        <f t="shared" si="2"/>
        <v>2380</v>
      </c>
    </row>
    <row r="119" ht="15.75" customHeight="1">
      <c r="A119" s="27">
        <v>46182.0</v>
      </c>
      <c r="B119" s="32" t="s">
        <v>6</v>
      </c>
      <c r="C119" s="34">
        <v>14400.0</v>
      </c>
      <c r="D119" s="33"/>
      <c r="E119" s="31">
        <f t="shared" si="2"/>
        <v>16780</v>
      </c>
      <c r="F119" s="32" t="s">
        <v>285</v>
      </c>
    </row>
    <row r="120" ht="15.75" customHeight="1">
      <c r="A120" s="27">
        <v>46187.0</v>
      </c>
      <c r="B120" s="32" t="s">
        <v>6</v>
      </c>
      <c r="C120" s="34">
        <v>78200.0</v>
      </c>
      <c r="D120" s="33"/>
      <c r="E120" s="31">
        <f t="shared" si="2"/>
        <v>94980</v>
      </c>
      <c r="F120" s="32" t="s">
        <v>287</v>
      </c>
    </row>
    <row r="121" ht="15.75" customHeight="1">
      <c r="A121" s="27">
        <v>46190.0</v>
      </c>
      <c r="B121" s="32" t="s">
        <v>6</v>
      </c>
      <c r="C121" s="34">
        <v>126720.0</v>
      </c>
      <c r="D121" s="33"/>
      <c r="E121" s="31">
        <f t="shared" si="2"/>
        <v>221700</v>
      </c>
      <c r="F121" s="32" t="s">
        <v>290</v>
      </c>
    </row>
    <row r="122" ht="15.75" customHeight="1">
      <c r="A122" s="27">
        <v>46191.0</v>
      </c>
      <c r="B122" s="32" t="s">
        <v>6</v>
      </c>
      <c r="C122" s="34">
        <v>66960.0</v>
      </c>
      <c r="D122" s="33"/>
      <c r="E122" s="31">
        <f t="shared" si="2"/>
        <v>288660</v>
      </c>
      <c r="F122" s="32" t="s">
        <v>293</v>
      </c>
    </row>
    <row r="123" ht="15.75" customHeight="1">
      <c r="A123" s="27">
        <v>46197.0</v>
      </c>
      <c r="B123" s="32" t="s">
        <v>6</v>
      </c>
      <c r="C123" s="34">
        <v>54000.0</v>
      </c>
      <c r="D123" s="33"/>
      <c r="E123" s="31">
        <f t="shared" si="2"/>
        <v>342660</v>
      </c>
      <c r="F123" s="32" t="s">
        <v>295</v>
      </c>
    </row>
    <row r="124" ht="15.75" customHeight="1">
      <c r="A124" s="27">
        <v>46195.0</v>
      </c>
      <c r="B124" s="35" t="s">
        <v>10</v>
      </c>
      <c r="C124" s="33"/>
      <c r="D124" s="34">
        <v>332000.0</v>
      </c>
      <c r="E124" s="31">
        <f t="shared" si="2"/>
        <v>10660</v>
      </c>
    </row>
    <row r="125" ht="15.75" customHeight="1">
      <c r="A125" s="27">
        <v>46195.0</v>
      </c>
      <c r="B125" s="35" t="s">
        <v>296</v>
      </c>
      <c r="C125" s="33"/>
      <c r="D125" s="34">
        <v>7770.0</v>
      </c>
      <c r="E125" s="31">
        <f t="shared" si="2"/>
        <v>2890</v>
      </c>
    </row>
    <row r="126" ht="15.75" customHeight="1">
      <c r="A126" s="76">
        <v>46209.0</v>
      </c>
      <c r="B126" s="35" t="s">
        <v>298</v>
      </c>
      <c r="C126" s="34">
        <v>3400.0</v>
      </c>
      <c r="D126" s="33"/>
      <c r="E126" s="31">
        <f t="shared" si="2"/>
        <v>6290</v>
      </c>
      <c r="F126" s="32" t="s">
        <v>301</v>
      </c>
    </row>
    <row r="127" ht="15.75" customHeight="1">
      <c r="A127" s="27">
        <v>46217.0</v>
      </c>
      <c r="B127" s="35" t="s">
        <v>298</v>
      </c>
      <c r="C127" s="34">
        <v>30000.0</v>
      </c>
      <c r="D127" s="33"/>
      <c r="E127" s="31">
        <f t="shared" si="2"/>
        <v>36290</v>
      </c>
      <c r="F127" s="32" t="s">
        <v>303</v>
      </c>
    </row>
    <row r="128" ht="15.75" customHeight="1">
      <c r="A128" s="27">
        <v>46231.0</v>
      </c>
      <c r="B128" s="35" t="s">
        <v>298</v>
      </c>
      <c r="C128" s="34">
        <v>27000.0</v>
      </c>
      <c r="D128" s="33"/>
      <c r="E128" s="31">
        <f t="shared" si="2"/>
        <v>63290</v>
      </c>
      <c r="F128" s="32" t="s">
        <v>305</v>
      </c>
    </row>
    <row r="129" ht="15.75" customHeight="1">
      <c r="A129" s="27">
        <v>46237.0</v>
      </c>
      <c r="B129" s="35" t="s">
        <v>10</v>
      </c>
      <c r="C129" s="34"/>
      <c r="D129" s="34">
        <v>170000.0</v>
      </c>
      <c r="E129" s="31">
        <f t="shared" si="2"/>
        <v>-106710</v>
      </c>
      <c r="F129" s="32" t="s">
        <v>306</v>
      </c>
    </row>
    <row r="130" ht="15.75" customHeight="1">
      <c r="C130" s="33"/>
      <c r="D130" s="33"/>
    </row>
    <row r="131" ht="15.75" customHeight="1">
      <c r="C131" s="33"/>
      <c r="D131" s="33"/>
    </row>
    <row r="132" ht="15.75" customHeight="1">
      <c r="C132" s="33"/>
      <c r="D132" s="33"/>
    </row>
    <row r="133" ht="15.75" customHeight="1">
      <c r="C133" s="33"/>
      <c r="D133" s="33"/>
    </row>
    <row r="134" ht="15.75" customHeight="1">
      <c r="C134" s="33"/>
      <c r="D134" s="33"/>
    </row>
    <row r="135" ht="15.75" customHeight="1">
      <c r="C135" s="33"/>
      <c r="D135" s="33"/>
    </row>
    <row r="136" ht="15.75" customHeight="1">
      <c r="C136" s="33"/>
      <c r="D136" s="33"/>
    </row>
    <row r="137" ht="15.75" customHeight="1">
      <c r="C137" s="33"/>
      <c r="D137" s="33"/>
    </row>
    <row r="138" ht="15.75" customHeight="1">
      <c r="C138" s="33"/>
      <c r="D138" s="33"/>
    </row>
    <row r="139" ht="15.75" customHeight="1">
      <c r="C139" s="33"/>
      <c r="D139" s="33"/>
    </row>
    <row r="140" ht="15.75" customHeight="1">
      <c r="C140" s="33"/>
      <c r="D140" s="33"/>
    </row>
    <row r="141" ht="15.75" customHeight="1">
      <c r="C141" s="33"/>
      <c r="D141" s="33"/>
    </row>
    <row r="142" ht="15.75" customHeight="1">
      <c r="C142" s="33"/>
      <c r="D142" s="33"/>
    </row>
    <row r="143" ht="15.75" customHeight="1">
      <c r="C143" s="33"/>
      <c r="D143" s="33"/>
    </row>
    <row r="144" ht="15.75" customHeight="1">
      <c r="C144" s="33"/>
      <c r="D144" s="33"/>
    </row>
    <row r="145" ht="15.75" customHeight="1">
      <c r="C145" s="33"/>
      <c r="D145" s="33"/>
    </row>
    <row r="146" ht="15.75" customHeight="1">
      <c r="C146" s="33"/>
      <c r="D146" s="33"/>
    </row>
    <row r="147" ht="15.75" customHeight="1">
      <c r="C147" s="33"/>
      <c r="D147" s="33"/>
    </row>
    <row r="148" ht="15.75" customHeight="1">
      <c r="C148" s="33"/>
      <c r="D148" s="33"/>
    </row>
    <row r="149" ht="15.75" customHeight="1">
      <c r="C149" s="33"/>
      <c r="D149" s="33"/>
    </row>
    <row r="150" ht="15.75" customHeight="1">
      <c r="C150" s="33"/>
      <c r="D150" s="33"/>
    </row>
    <row r="151" ht="15.75" customHeight="1">
      <c r="C151" s="33"/>
      <c r="D151" s="33"/>
    </row>
    <row r="152" ht="15.75" customHeight="1">
      <c r="C152" s="33"/>
      <c r="D152" s="33"/>
    </row>
    <row r="153" ht="15.75" customHeight="1">
      <c r="C153" s="33"/>
      <c r="D153" s="33"/>
    </row>
    <row r="154" ht="15.75" customHeight="1">
      <c r="C154" s="33"/>
      <c r="D154" s="33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28.71"/>
    <col customWidth="1" min="3" max="3" width="11.57"/>
    <col customWidth="1" min="4" max="4" width="11.71"/>
    <col customWidth="1" min="5" max="5" width="10.71"/>
    <col customWidth="1" min="6" max="6" width="29.86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45953.0</v>
      </c>
      <c r="B2" s="6" t="s">
        <v>10</v>
      </c>
      <c r="C2" s="8">
        <v>0.0</v>
      </c>
      <c r="D2" s="8">
        <v>10000.0</v>
      </c>
      <c r="E2" s="8">
        <v>-10000.0</v>
      </c>
      <c r="F2" s="6"/>
    </row>
    <row r="3">
      <c r="A3" s="4">
        <v>45963.0</v>
      </c>
      <c r="B3" s="6" t="s">
        <v>10</v>
      </c>
      <c r="C3" s="8">
        <v>0.0</v>
      </c>
      <c r="D3" s="8">
        <v>100000.0</v>
      </c>
      <c r="E3" s="8">
        <v>-50000.0</v>
      </c>
      <c r="F3" s="6"/>
    </row>
    <row r="4">
      <c r="A4" s="3">
        <v>45963.0</v>
      </c>
      <c r="B4" s="5" t="s">
        <v>6</v>
      </c>
      <c r="C4" s="7">
        <v>60000.0</v>
      </c>
      <c r="D4" s="7">
        <v>0.0</v>
      </c>
      <c r="E4" s="7">
        <v>50000.0</v>
      </c>
      <c r="F4" s="5" t="s">
        <v>15</v>
      </c>
    </row>
    <row r="5">
      <c r="A5" s="3">
        <v>45964.0</v>
      </c>
      <c r="B5" s="5" t="s">
        <v>6</v>
      </c>
      <c r="C5" s="7">
        <v>96000.0</v>
      </c>
      <c r="D5" s="7">
        <v>0.0</v>
      </c>
      <c r="E5" s="7">
        <v>46000.0</v>
      </c>
      <c r="F5" s="5" t="s">
        <v>18</v>
      </c>
    </row>
    <row r="6">
      <c r="A6" s="4">
        <v>45965.0</v>
      </c>
      <c r="B6" s="6" t="s">
        <v>6</v>
      </c>
      <c r="C6" s="8">
        <v>36000.0</v>
      </c>
      <c r="D6" s="8">
        <v>0.0</v>
      </c>
      <c r="E6" s="8">
        <v>82000.0</v>
      </c>
      <c r="F6" s="6" t="s">
        <v>19</v>
      </c>
    </row>
    <row r="7">
      <c r="A7" s="3">
        <v>45966.0</v>
      </c>
      <c r="B7" s="5" t="s">
        <v>6</v>
      </c>
      <c r="C7" s="7">
        <v>62200.0</v>
      </c>
      <c r="D7" s="7">
        <v>0.0</v>
      </c>
      <c r="E7" s="7">
        <v>144200.0</v>
      </c>
      <c r="F7" s="5" t="s">
        <v>21</v>
      </c>
    </row>
    <row r="8">
      <c r="A8" s="4">
        <v>45969.0</v>
      </c>
      <c r="B8" s="6" t="s">
        <v>6</v>
      </c>
      <c r="C8" s="8">
        <v>60000.0</v>
      </c>
      <c r="D8" s="8">
        <v>0.0</v>
      </c>
      <c r="E8" s="8">
        <v>204200.0</v>
      </c>
      <c r="F8" s="6" t="s">
        <v>22</v>
      </c>
    </row>
    <row r="9">
      <c r="A9" s="3">
        <v>45970.0</v>
      </c>
      <c r="B9" s="5" t="s">
        <v>10</v>
      </c>
      <c r="C9" s="7">
        <v>0.0</v>
      </c>
      <c r="D9" s="7">
        <v>150000.0</v>
      </c>
      <c r="E9" s="7">
        <v>54200.0</v>
      </c>
      <c r="F9" s="5"/>
    </row>
    <row r="10">
      <c r="A10" s="4">
        <v>45973.0</v>
      </c>
      <c r="B10" s="6" t="s">
        <v>6</v>
      </c>
      <c r="C10" s="8">
        <v>63000.0</v>
      </c>
      <c r="D10" s="8">
        <v>0.0</v>
      </c>
      <c r="E10" s="8">
        <v>117200.0</v>
      </c>
      <c r="F10" s="6" t="s">
        <v>23</v>
      </c>
    </row>
    <row r="11">
      <c r="A11" s="3">
        <v>45974.0</v>
      </c>
      <c r="B11" s="5" t="s">
        <v>10</v>
      </c>
      <c r="C11" s="7">
        <v>0.0</v>
      </c>
      <c r="D11" s="7">
        <v>63000.0</v>
      </c>
      <c r="E11" s="7">
        <v>54200.0</v>
      </c>
      <c r="F11" s="5"/>
    </row>
    <row r="12">
      <c r="A12" s="4">
        <v>45984.0</v>
      </c>
      <c r="B12" s="6" t="s">
        <v>10</v>
      </c>
      <c r="C12" s="8">
        <v>0.0</v>
      </c>
      <c r="D12" s="8">
        <v>54200.0</v>
      </c>
      <c r="E12" s="8">
        <v>0.0</v>
      </c>
      <c r="F12" s="6"/>
    </row>
    <row r="13">
      <c r="A13" s="3">
        <v>45987.0</v>
      </c>
      <c r="B13" s="5" t="s">
        <v>6</v>
      </c>
      <c r="C13" s="7">
        <v>29500.0</v>
      </c>
      <c r="D13" s="7">
        <v>0.0</v>
      </c>
      <c r="E13" s="7">
        <v>29500.0</v>
      </c>
      <c r="F13" s="5" t="s">
        <v>25</v>
      </c>
    </row>
    <row r="14">
      <c r="A14" s="3">
        <v>45991.0</v>
      </c>
      <c r="B14" s="5" t="s">
        <v>6</v>
      </c>
      <c r="C14" s="7">
        <v>96200.0</v>
      </c>
      <c r="D14" s="7">
        <v>0.0</v>
      </c>
      <c r="E14" s="7">
        <v>61200.0</v>
      </c>
      <c r="F14" s="5" t="s">
        <v>27</v>
      </c>
    </row>
    <row r="15">
      <c r="A15" s="4">
        <v>45991.0</v>
      </c>
      <c r="B15" s="6" t="s">
        <v>10</v>
      </c>
      <c r="C15" s="8">
        <v>0.0</v>
      </c>
      <c r="D15" s="8">
        <v>64500.0</v>
      </c>
      <c r="E15" s="8">
        <v>-35000.0</v>
      </c>
      <c r="F15" s="6"/>
    </row>
    <row r="16">
      <c r="A16" s="4">
        <v>45992.0</v>
      </c>
      <c r="B16" s="6" t="s">
        <v>10</v>
      </c>
      <c r="C16" s="8">
        <v>0.0</v>
      </c>
      <c r="D16" s="8">
        <v>89000.0</v>
      </c>
      <c r="E16" s="8">
        <v>-27800.0</v>
      </c>
      <c r="F16" s="6"/>
    </row>
    <row r="17">
      <c r="A17" s="4">
        <v>45993.0</v>
      </c>
      <c r="B17" s="6" t="s">
        <v>10</v>
      </c>
      <c r="C17" s="8">
        <v>0.0</v>
      </c>
      <c r="D17" s="8">
        <v>72000.0</v>
      </c>
      <c r="E17" s="8">
        <v>-600.0</v>
      </c>
      <c r="F17" s="6"/>
    </row>
    <row r="18">
      <c r="A18" s="3">
        <v>45993.0</v>
      </c>
      <c r="B18" s="5" t="s">
        <v>6</v>
      </c>
      <c r="C18" s="7">
        <v>99200.0</v>
      </c>
      <c r="D18" s="7">
        <v>0.0</v>
      </c>
      <c r="E18" s="7">
        <v>71400.0</v>
      </c>
      <c r="F18" s="5" t="s">
        <v>33</v>
      </c>
    </row>
    <row r="19">
      <c r="A19" s="3">
        <v>46001.0</v>
      </c>
      <c r="B19" s="5" t="s">
        <v>6</v>
      </c>
      <c r="C19" s="7">
        <v>72900.0</v>
      </c>
      <c r="D19" s="7">
        <v>0.0</v>
      </c>
      <c r="E19" s="7">
        <v>72300.0</v>
      </c>
      <c r="F19" s="5" t="s">
        <v>35</v>
      </c>
    </row>
    <row r="20">
      <c r="A20" s="4">
        <v>46002.0</v>
      </c>
      <c r="B20" s="6" t="s">
        <v>10</v>
      </c>
      <c r="C20" s="8">
        <v>0.0</v>
      </c>
      <c r="D20" s="8">
        <v>72900.0</v>
      </c>
      <c r="E20" s="8">
        <v>-600.0</v>
      </c>
      <c r="F20" s="6"/>
    </row>
    <row r="21" ht="15.75" customHeight="1">
      <c r="A21" s="4">
        <v>46004.0</v>
      </c>
      <c r="B21" s="6" t="s">
        <v>6</v>
      </c>
      <c r="C21" s="8">
        <v>18000.0</v>
      </c>
      <c r="D21" s="8">
        <v>0.0</v>
      </c>
      <c r="E21" s="8">
        <f t="shared" ref="E21:E29" si="1">+C21</f>
        <v>18000</v>
      </c>
      <c r="F21" s="6" t="s">
        <v>41</v>
      </c>
    </row>
    <row r="22" ht="15.75" customHeight="1">
      <c r="A22" s="3">
        <v>46004.0</v>
      </c>
      <c r="B22" s="5" t="s">
        <v>10</v>
      </c>
      <c r="C22" s="7">
        <v>0.0</v>
      </c>
      <c r="D22" s="7">
        <v>18000.0</v>
      </c>
      <c r="E22" s="8">
        <f t="shared" si="1"/>
        <v>0</v>
      </c>
      <c r="F22" s="5"/>
    </row>
    <row r="23" ht="15.75" customHeight="1">
      <c r="A23" s="21">
        <v>46025.0</v>
      </c>
      <c r="B23" s="6" t="s">
        <v>6</v>
      </c>
      <c r="C23" s="22">
        <v>76000.0</v>
      </c>
      <c r="D23" s="23"/>
      <c r="E23" s="8">
        <f t="shared" si="1"/>
        <v>76000</v>
      </c>
      <c r="F23" s="5" t="s">
        <v>48</v>
      </c>
    </row>
    <row r="24" ht="15.75" customHeight="1">
      <c r="A24" s="21">
        <v>46025.0</v>
      </c>
      <c r="B24" s="5" t="s">
        <v>10</v>
      </c>
      <c r="C24" s="23"/>
      <c r="D24" s="23">
        <v>76000.0</v>
      </c>
      <c r="E24" s="8" t="str">
        <f t="shared" si="1"/>
        <v/>
      </c>
    </row>
    <row r="25" ht="15.75" customHeight="1">
      <c r="A25" s="24">
        <v>46028.0</v>
      </c>
      <c r="B25" s="6" t="s">
        <v>6</v>
      </c>
      <c r="C25" s="25">
        <v>30000.0</v>
      </c>
      <c r="D25" s="23"/>
      <c r="E25" s="8">
        <f t="shared" si="1"/>
        <v>30000</v>
      </c>
      <c r="F25" s="26" t="s">
        <v>57</v>
      </c>
    </row>
    <row r="26" ht="15.75" customHeight="1">
      <c r="A26" s="24">
        <v>46028.0</v>
      </c>
      <c r="B26" s="5" t="s">
        <v>10</v>
      </c>
      <c r="C26" s="23"/>
      <c r="D26" s="25">
        <v>30000.0</v>
      </c>
      <c r="E26" s="8" t="str">
        <f t="shared" si="1"/>
        <v/>
      </c>
    </row>
    <row r="27" ht="15.75" customHeight="1">
      <c r="A27" s="24">
        <v>46030.0</v>
      </c>
      <c r="B27" s="6" t="s">
        <v>6</v>
      </c>
      <c r="C27" s="25">
        <v>90000.0</v>
      </c>
      <c r="D27" s="23"/>
      <c r="E27" s="8">
        <f t="shared" si="1"/>
        <v>90000</v>
      </c>
      <c r="F27" s="26" t="s">
        <v>61</v>
      </c>
    </row>
    <row r="28" ht="15.75" customHeight="1">
      <c r="A28" s="24">
        <v>46033.0</v>
      </c>
      <c r="B28" s="5" t="s">
        <v>10</v>
      </c>
      <c r="C28" s="23"/>
      <c r="D28" s="25">
        <v>90000.0</v>
      </c>
      <c r="E28" s="8" t="str">
        <f t="shared" si="1"/>
        <v/>
      </c>
    </row>
    <row r="29" ht="15.75" customHeight="1">
      <c r="A29" s="24">
        <v>46033.0</v>
      </c>
      <c r="B29" s="6" t="s">
        <v>6</v>
      </c>
      <c r="C29" s="25">
        <v>57600.0</v>
      </c>
      <c r="D29" s="23"/>
      <c r="E29" s="8">
        <f t="shared" si="1"/>
        <v>57600</v>
      </c>
      <c r="F29" s="26" t="s">
        <v>67</v>
      </c>
    </row>
    <row r="30" ht="15.75" customHeight="1">
      <c r="A30" s="24">
        <v>46035.0</v>
      </c>
      <c r="B30" s="5" t="s">
        <v>10</v>
      </c>
      <c r="C30" s="23"/>
      <c r="D30" s="25">
        <v>56500.0</v>
      </c>
      <c r="E30" s="8">
        <f t="shared" ref="E30:E104" si="2">E29-D30+C30</f>
        <v>1100</v>
      </c>
    </row>
    <row r="31" ht="15.75" customHeight="1">
      <c r="A31" s="24">
        <v>46040.0</v>
      </c>
      <c r="B31" s="6" t="s">
        <v>6</v>
      </c>
      <c r="C31" s="25">
        <v>60000.0</v>
      </c>
      <c r="D31" s="23"/>
      <c r="E31" s="8">
        <f t="shared" si="2"/>
        <v>61100</v>
      </c>
      <c r="F31" s="26" t="s">
        <v>71</v>
      </c>
    </row>
    <row r="32" ht="15.75" customHeight="1">
      <c r="A32" s="24">
        <v>46040.0</v>
      </c>
      <c r="B32" s="5" t="s">
        <v>10</v>
      </c>
      <c r="C32" s="23"/>
      <c r="D32" s="25">
        <v>60000.0</v>
      </c>
      <c r="E32" s="8">
        <f t="shared" si="2"/>
        <v>1100</v>
      </c>
    </row>
    <row r="33" ht="15.75" customHeight="1">
      <c r="A33" s="24">
        <v>46042.0</v>
      </c>
      <c r="B33" s="6" t="s">
        <v>6</v>
      </c>
      <c r="C33" s="25">
        <v>42000.0</v>
      </c>
      <c r="D33" s="25"/>
      <c r="E33" s="8">
        <f t="shared" si="2"/>
        <v>43100</v>
      </c>
      <c r="F33" s="26" t="s">
        <v>77</v>
      </c>
    </row>
    <row r="34" ht="15.75" customHeight="1">
      <c r="A34" s="24">
        <v>46043.0</v>
      </c>
      <c r="B34" s="5" t="s">
        <v>10</v>
      </c>
      <c r="C34" s="25"/>
      <c r="D34" s="25">
        <v>42000.0</v>
      </c>
      <c r="E34" s="8">
        <f t="shared" si="2"/>
        <v>1100</v>
      </c>
    </row>
    <row r="35" ht="15.75" customHeight="1">
      <c r="A35" s="24">
        <v>46043.0</v>
      </c>
      <c r="B35" s="6" t="s">
        <v>6</v>
      </c>
      <c r="C35" s="25">
        <v>106800.0</v>
      </c>
      <c r="D35" s="23"/>
      <c r="E35" s="8">
        <f t="shared" si="2"/>
        <v>107900</v>
      </c>
      <c r="F35" s="26" t="s">
        <v>81</v>
      </c>
    </row>
    <row r="36" ht="15.75" customHeight="1">
      <c r="A36" s="24">
        <v>46044.0</v>
      </c>
      <c r="B36" s="5" t="s">
        <v>10</v>
      </c>
      <c r="C36" s="23"/>
      <c r="D36" s="25">
        <v>60000.0</v>
      </c>
      <c r="E36" s="8">
        <f t="shared" si="2"/>
        <v>47900</v>
      </c>
    </row>
    <row r="37" ht="15.75" customHeight="1">
      <c r="A37" s="24">
        <v>46048.0</v>
      </c>
      <c r="B37" s="6" t="s">
        <v>6</v>
      </c>
      <c r="C37" s="25">
        <v>117400.0</v>
      </c>
      <c r="D37" s="23"/>
      <c r="E37" s="8">
        <f t="shared" si="2"/>
        <v>165300</v>
      </c>
      <c r="F37" s="26" t="s">
        <v>87</v>
      </c>
    </row>
    <row r="38" ht="15.75" customHeight="1">
      <c r="A38" s="24">
        <v>46048.0</v>
      </c>
      <c r="B38" s="5" t="s">
        <v>10</v>
      </c>
      <c r="C38" s="23"/>
      <c r="D38" s="25">
        <v>165000.0</v>
      </c>
      <c r="E38" s="8">
        <f t="shared" si="2"/>
        <v>300</v>
      </c>
    </row>
    <row r="39" ht="15.75" customHeight="1">
      <c r="A39" s="27">
        <v>46054.0</v>
      </c>
      <c r="B39" s="6" t="s">
        <v>6</v>
      </c>
      <c r="C39" s="25">
        <v>98000.0</v>
      </c>
      <c r="D39" s="23"/>
      <c r="E39" s="8">
        <f t="shared" si="2"/>
        <v>98300</v>
      </c>
      <c r="F39" s="26" t="s">
        <v>92</v>
      </c>
    </row>
    <row r="40" ht="15.75" customHeight="1">
      <c r="A40" s="27">
        <v>46054.0</v>
      </c>
      <c r="B40" s="5" t="s">
        <v>10</v>
      </c>
      <c r="C40" s="23"/>
      <c r="D40" s="25">
        <v>98000.0</v>
      </c>
      <c r="E40" s="8">
        <f t="shared" si="2"/>
        <v>300</v>
      </c>
    </row>
    <row r="41" ht="15.75" customHeight="1">
      <c r="A41" s="27">
        <v>46056.0</v>
      </c>
      <c r="B41" s="6" t="s">
        <v>6</v>
      </c>
      <c r="C41" s="25">
        <v>14400.0</v>
      </c>
      <c r="D41" s="23"/>
      <c r="E41" s="8">
        <f t="shared" si="2"/>
        <v>14700</v>
      </c>
      <c r="F41" s="26" t="s">
        <v>98</v>
      </c>
    </row>
    <row r="42" ht="15.75" customHeight="1">
      <c r="A42" s="27">
        <v>46057.0</v>
      </c>
      <c r="B42" s="5" t="s">
        <v>10</v>
      </c>
      <c r="C42" s="23"/>
      <c r="D42" s="25">
        <v>14000.0</v>
      </c>
      <c r="E42" s="8">
        <f t="shared" si="2"/>
        <v>700</v>
      </c>
    </row>
    <row r="43" ht="15.75" customHeight="1">
      <c r="A43" s="27">
        <v>46058.0</v>
      </c>
      <c r="B43" s="6" t="s">
        <v>6</v>
      </c>
      <c r="C43" s="25">
        <v>40500.0</v>
      </c>
      <c r="D43" s="23"/>
      <c r="E43" s="8">
        <f t="shared" si="2"/>
        <v>41200</v>
      </c>
      <c r="F43" s="26" t="s">
        <v>102</v>
      </c>
    </row>
    <row r="44" ht="15.75" customHeight="1">
      <c r="A44" s="27">
        <v>46058.0</v>
      </c>
      <c r="B44" s="6" t="s">
        <v>6</v>
      </c>
      <c r="C44" s="25">
        <v>28800.0</v>
      </c>
      <c r="D44" s="23"/>
      <c r="E44" s="8">
        <f t="shared" si="2"/>
        <v>70000</v>
      </c>
      <c r="F44" s="26" t="s">
        <v>104</v>
      </c>
    </row>
    <row r="45" ht="15.75" customHeight="1">
      <c r="A45" s="27">
        <v>46061.0</v>
      </c>
      <c r="B45" s="5" t="s">
        <v>10</v>
      </c>
      <c r="C45" s="23"/>
      <c r="D45" s="25">
        <v>69000.0</v>
      </c>
      <c r="E45" s="8">
        <f t="shared" si="2"/>
        <v>1000</v>
      </c>
    </row>
    <row r="46" ht="15.75" customHeight="1">
      <c r="A46" s="27">
        <v>46061.0</v>
      </c>
      <c r="B46" s="6" t="s">
        <v>6</v>
      </c>
      <c r="C46" s="25">
        <v>87000.0</v>
      </c>
      <c r="D46" s="23"/>
      <c r="E46" s="8">
        <f t="shared" si="2"/>
        <v>88000</v>
      </c>
      <c r="F46" s="26" t="s">
        <v>108</v>
      </c>
    </row>
    <row r="47" ht="15.75" customHeight="1">
      <c r="A47" s="27">
        <v>46061.0</v>
      </c>
      <c r="B47" s="5" t="s">
        <v>10</v>
      </c>
      <c r="C47" s="23"/>
      <c r="D47" s="25">
        <v>87000.0</v>
      </c>
      <c r="E47" s="8">
        <f t="shared" si="2"/>
        <v>1000</v>
      </c>
    </row>
    <row r="48" ht="15.75" customHeight="1">
      <c r="A48" s="27">
        <v>46064.0</v>
      </c>
      <c r="B48" s="6" t="s">
        <v>6</v>
      </c>
      <c r="C48" s="25">
        <v>63600.0</v>
      </c>
      <c r="D48" s="23"/>
      <c r="E48" s="8">
        <f t="shared" si="2"/>
        <v>64600</v>
      </c>
      <c r="F48" s="26" t="s">
        <v>111</v>
      </c>
    </row>
    <row r="49" ht="15.75" customHeight="1">
      <c r="A49" s="27">
        <v>46064.0</v>
      </c>
      <c r="B49" s="5" t="s">
        <v>10</v>
      </c>
      <c r="C49" s="25"/>
      <c r="D49" s="25">
        <v>63600.0</v>
      </c>
      <c r="E49" s="8">
        <f t="shared" si="2"/>
        <v>1000</v>
      </c>
    </row>
    <row r="50" ht="15.75" customHeight="1">
      <c r="A50" s="27">
        <v>46068.0</v>
      </c>
      <c r="B50" s="6" t="s">
        <v>6</v>
      </c>
      <c r="C50" s="25">
        <v>69600.0</v>
      </c>
      <c r="D50" s="23"/>
      <c r="E50" s="8">
        <f t="shared" si="2"/>
        <v>70600</v>
      </c>
      <c r="F50" s="26" t="s">
        <v>116</v>
      </c>
    </row>
    <row r="51" ht="15.75" customHeight="1">
      <c r="A51" s="27">
        <v>46071.0</v>
      </c>
      <c r="B51" s="6" t="s">
        <v>6</v>
      </c>
      <c r="C51" s="25">
        <v>38000.0</v>
      </c>
      <c r="D51" s="23"/>
      <c r="E51" s="8">
        <f t="shared" si="2"/>
        <v>108600</v>
      </c>
      <c r="F51" s="26" t="s">
        <v>120</v>
      </c>
    </row>
    <row r="52" ht="15.75" customHeight="1">
      <c r="A52" s="27">
        <v>46071.0</v>
      </c>
      <c r="B52" s="5" t="s">
        <v>10</v>
      </c>
      <c r="C52" s="23"/>
      <c r="D52" s="25">
        <v>100000.0</v>
      </c>
      <c r="E52" s="8">
        <f t="shared" si="2"/>
        <v>8600</v>
      </c>
    </row>
    <row r="53" ht="15.75" customHeight="1">
      <c r="A53" s="27">
        <v>46076.0</v>
      </c>
      <c r="B53" s="6" t="s">
        <v>6</v>
      </c>
      <c r="C53" s="25">
        <v>58000.0</v>
      </c>
      <c r="D53" s="23"/>
      <c r="E53" s="8">
        <f t="shared" si="2"/>
        <v>66600</v>
      </c>
      <c r="F53" s="26" t="s">
        <v>124</v>
      </c>
    </row>
    <row r="54" ht="15.75" customHeight="1">
      <c r="A54" s="27">
        <v>46077.0</v>
      </c>
      <c r="B54" s="35" t="s">
        <v>10</v>
      </c>
      <c r="C54" s="23"/>
      <c r="D54" s="25">
        <v>65000.0</v>
      </c>
      <c r="E54" s="8">
        <f t="shared" si="2"/>
        <v>1600</v>
      </c>
    </row>
    <row r="55" ht="15.75" customHeight="1">
      <c r="A55" s="27">
        <v>46078.0</v>
      </c>
      <c r="B55" s="6" t="s">
        <v>6</v>
      </c>
      <c r="C55" s="25">
        <v>50000.0</v>
      </c>
      <c r="D55" s="23"/>
      <c r="E55" s="8">
        <f t="shared" si="2"/>
        <v>51600</v>
      </c>
      <c r="F55" s="26" t="s">
        <v>131</v>
      </c>
    </row>
    <row r="56" ht="15.75" customHeight="1">
      <c r="B56" s="35" t="s">
        <v>10</v>
      </c>
      <c r="C56" s="23"/>
      <c r="D56" s="25">
        <v>50000.0</v>
      </c>
      <c r="E56" s="8">
        <f t="shared" si="2"/>
        <v>1600</v>
      </c>
    </row>
    <row r="57" ht="15.75" customHeight="1">
      <c r="A57" s="27">
        <v>46082.0</v>
      </c>
      <c r="B57" s="6" t="s">
        <v>6</v>
      </c>
      <c r="C57" s="25">
        <v>51000.0</v>
      </c>
      <c r="D57" s="23"/>
      <c r="E57" s="8">
        <f t="shared" si="2"/>
        <v>52600</v>
      </c>
      <c r="F57" s="26" t="s">
        <v>136</v>
      </c>
    </row>
    <row r="58" ht="15.75" customHeight="1">
      <c r="A58" s="27">
        <v>46083.0</v>
      </c>
      <c r="B58" s="6" t="s">
        <v>6</v>
      </c>
      <c r="C58" s="25">
        <v>36000.0</v>
      </c>
      <c r="D58" s="23"/>
      <c r="E58" s="8">
        <f t="shared" si="2"/>
        <v>88600</v>
      </c>
      <c r="F58" s="26" t="s">
        <v>138</v>
      </c>
    </row>
    <row r="59" ht="15.75" customHeight="1">
      <c r="A59" s="27">
        <v>46085.0</v>
      </c>
      <c r="B59" s="6" t="s">
        <v>6</v>
      </c>
      <c r="C59" s="25">
        <v>37200.0</v>
      </c>
      <c r="D59" s="23"/>
      <c r="E59" s="8">
        <f t="shared" si="2"/>
        <v>125800</v>
      </c>
      <c r="F59" s="26" t="s">
        <v>141</v>
      </c>
    </row>
    <row r="60" ht="15.75" customHeight="1">
      <c r="B60" s="35" t="s">
        <v>10</v>
      </c>
      <c r="C60" s="23"/>
      <c r="D60" s="25">
        <v>124000.0</v>
      </c>
      <c r="E60" s="8">
        <f t="shared" si="2"/>
        <v>1800</v>
      </c>
    </row>
    <row r="61" ht="15.75" customHeight="1">
      <c r="A61" s="27">
        <v>46090.0</v>
      </c>
      <c r="B61" s="6" t="s">
        <v>6</v>
      </c>
      <c r="C61" s="25">
        <v>85500.0</v>
      </c>
      <c r="D61" s="23"/>
      <c r="E61" s="8">
        <f t="shared" si="2"/>
        <v>87300</v>
      </c>
      <c r="F61" s="26" t="s">
        <v>146</v>
      </c>
    </row>
    <row r="62" ht="15.75" customHeight="1">
      <c r="B62" s="35" t="s">
        <v>10</v>
      </c>
      <c r="C62" s="23"/>
      <c r="D62" s="25">
        <v>85500.0</v>
      </c>
      <c r="E62" s="8">
        <f t="shared" si="2"/>
        <v>1800</v>
      </c>
    </row>
    <row r="63" ht="15.75" customHeight="1">
      <c r="A63" s="43">
        <v>46113.0</v>
      </c>
      <c r="B63" s="35" t="s">
        <v>6</v>
      </c>
      <c r="C63" s="25">
        <v>105000.0</v>
      </c>
      <c r="D63" s="25"/>
      <c r="E63" s="8">
        <f t="shared" si="2"/>
        <v>106800</v>
      </c>
      <c r="F63" s="47" t="s">
        <v>148</v>
      </c>
    </row>
    <row r="64" ht="15.75" customHeight="1">
      <c r="B64" s="35" t="s">
        <v>10</v>
      </c>
      <c r="C64" s="23"/>
      <c r="D64" s="25">
        <v>105000.0</v>
      </c>
      <c r="E64" s="8">
        <f t="shared" si="2"/>
        <v>1800</v>
      </c>
    </row>
    <row r="65" ht="15.75" customHeight="1">
      <c r="A65" s="43">
        <v>46116.0</v>
      </c>
      <c r="B65" s="35" t="s">
        <v>6</v>
      </c>
      <c r="C65" s="25">
        <v>81000.0</v>
      </c>
      <c r="D65" s="23"/>
      <c r="E65" s="8">
        <f t="shared" si="2"/>
        <v>82800</v>
      </c>
      <c r="F65" s="32" t="s">
        <v>154</v>
      </c>
    </row>
    <row r="66" ht="15.75" customHeight="1">
      <c r="A66" s="43">
        <v>46118.0</v>
      </c>
      <c r="B66" s="35" t="s">
        <v>6</v>
      </c>
      <c r="C66" s="25">
        <v>74000.0</v>
      </c>
      <c r="D66" s="23"/>
      <c r="E66" s="8">
        <f t="shared" si="2"/>
        <v>156800</v>
      </c>
      <c r="F66" s="32" t="s">
        <v>157</v>
      </c>
    </row>
    <row r="67" ht="15.75" customHeight="1">
      <c r="B67" s="35" t="s">
        <v>10</v>
      </c>
      <c r="C67" s="23"/>
      <c r="D67" s="25">
        <v>156800.0</v>
      </c>
      <c r="E67" s="8">
        <f t="shared" si="2"/>
        <v>0</v>
      </c>
    </row>
    <row r="68" ht="15.75" customHeight="1">
      <c r="A68" s="52">
        <v>46119.0</v>
      </c>
      <c r="B68" s="54" t="s">
        <v>6</v>
      </c>
      <c r="C68" s="55">
        <v>45000.0</v>
      </c>
      <c r="D68" s="57"/>
      <c r="E68" s="60">
        <f t="shared" si="2"/>
        <v>45000</v>
      </c>
      <c r="F68" s="54" t="s">
        <v>165</v>
      </c>
      <c r="G68" s="54" t="s">
        <v>167</v>
      </c>
    </row>
    <row r="69" ht="15.75" customHeight="1">
      <c r="A69" s="27"/>
      <c r="B69" s="35" t="s">
        <v>10</v>
      </c>
      <c r="C69" s="25"/>
      <c r="D69" s="25">
        <v>45000.0</v>
      </c>
      <c r="E69" s="8">
        <f t="shared" si="2"/>
        <v>0</v>
      </c>
      <c r="F69" s="32"/>
    </row>
    <row r="70" ht="15.75" customHeight="1">
      <c r="A70" s="62">
        <v>46121.0</v>
      </c>
      <c r="B70" s="63" t="s">
        <v>6</v>
      </c>
      <c r="C70" s="64">
        <v>48000.0</v>
      </c>
      <c r="D70" s="65"/>
      <c r="E70" s="66">
        <f t="shared" si="2"/>
        <v>48000</v>
      </c>
      <c r="F70" s="63" t="s">
        <v>172</v>
      </c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5.75" customHeight="1">
      <c r="A71" s="27">
        <v>46124.0</v>
      </c>
      <c r="B71" s="35" t="s">
        <v>6</v>
      </c>
      <c r="C71" s="25">
        <v>57000.0</v>
      </c>
      <c r="D71" s="23"/>
      <c r="E71" s="8">
        <f t="shared" si="2"/>
        <v>105000</v>
      </c>
      <c r="F71" s="32" t="s">
        <v>182</v>
      </c>
    </row>
    <row r="72" ht="15.75" customHeight="1">
      <c r="A72" s="27">
        <v>46125.0</v>
      </c>
      <c r="B72" s="35" t="s">
        <v>10</v>
      </c>
      <c r="C72" s="23"/>
      <c r="D72" s="25">
        <v>57000.0</v>
      </c>
      <c r="E72" s="8">
        <f t="shared" si="2"/>
        <v>48000</v>
      </c>
    </row>
    <row r="73" ht="15.75" customHeight="1">
      <c r="A73" s="27">
        <v>46126.0</v>
      </c>
      <c r="B73" s="35" t="s">
        <v>6</v>
      </c>
      <c r="C73" s="25">
        <v>117000.0</v>
      </c>
      <c r="D73" s="23"/>
      <c r="E73" s="8">
        <f t="shared" si="2"/>
        <v>165000</v>
      </c>
      <c r="F73" s="32" t="s">
        <v>187</v>
      </c>
    </row>
    <row r="74" ht="15.75" customHeight="1">
      <c r="B74" s="35" t="s">
        <v>10</v>
      </c>
      <c r="C74" s="23"/>
      <c r="D74" s="25">
        <v>120000.0</v>
      </c>
      <c r="E74" s="8">
        <f t="shared" si="2"/>
        <v>45000</v>
      </c>
    </row>
    <row r="75" ht="15.75" customHeight="1">
      <c r="A75" s="27">
        <v>46127.0</v>
      </c>
      <c r="B75" s="35" t="s">
        <v>6</v>
      </c>
      <c r="C75" s="25">
        <v>39000.0</v>
      </c>
      <c r="D75" s="23"/>
      <c r="E75" s="8">
        <f t="shared" si="2"/>
        <v>84000</v>
      </c>
      <c r="F75" s="32" t="s">
        <v>190</v>
      </c>
    </row>
    <row r="76" ht="15.75" customHeight="1">
      <c r="B76" s="35" t="s">
        <v>10</v>
      </c>
      <c r="C76" s="25"/>
      <c r="D76" s="25">
        <v>39000.0</v>
      </c>
      <c r="E76" s="8">
        <f t="shared" si="2"/>
        <v>45000</v>
      </c>
    </row>
    <row r="77" ht="15.75" customHeight="1">
      <c r="A77" s="27">
        <v>46128.0</v>
      </c>
      <c r="B77" s="35" t="s">
        <v>6</v>
      </c>
      <c r="C77" s="25">
        <v>51000.0</v>
      </c>
      <c r="D77" s="23"/>
      <c r="E77" s="8">
        <f t="shared" si="2"/>
        <v>96000</v>
      </c>
      <c r="F77" s="32" t="s">
        <v>195</v>
      </c>
    </row>
    <row r="78" ht="15.75" customHeight="1">
      <c r="A78" s="27">
        <v>46131.0</v>
      </c>
      <c r="B78" s="35" t="s">
        <v>6</v>
      </c>
      <c r="C78" s="25">
        <v>25000.0</v>
      </c>
      <c r="D78" s="23"/>
      <c r="E78" s="8">
        <f t="shared" si="2"/>
        <v>121000</v>
      </c>
      <c r="F78" s="35" t="s">
        <v>200</v>
      </c>
    </row>
    <row r="79" ht="15.75" customHeight="1">
      <c r="A79" s="27"/>
      <c r="B79" s="35" t="s">
        <v>10</v>
      </c>
      <c r="C79" s="25"/>
      <c r="D79" s="25">
        <v>51000.0</v>
      </c>
      <c r="E79" s="8">
        <f t="shared" si="2"/>
        <v>70000</v>
      </c>
      <c r="F79" s="35"/>
    </row>
    <row r="80" ht="15.75" customHeight="1">
      <c r="A80" s="27"/>
      <c r="B80" s="35" t="s">
        <v>10</v>
      </c>
      <c r="C80" s="25"/>
      <c r="D80" s="25">
        <v>25000.0</v>
      </c>
      <c r="E80" s="8">
        <f t="shared" si="2"/>
        <v>45000</v>
      </c>
      <c r="F80" s="35"/>
    </row>
    <row r="81" ht="15.75" customHeight="1">
      <c r="A81" s="27">
        <v>46132.0</v>
      </c>
      <c r="B81" s="35" t="s">
        <v>6</v>
      </c>
      <c r="C81" s="25">
        <v>72000.0</v>
      </c>
      <c r="D81" s="23"/>
      <c r="E81" s="8">
        <f t="shared" si="2"/>
        <v>117000</v>
      </c>
      <c r="F81" s="35" t="s">
        <v>207</v>
      </c>
    </row>
    <row r="82" ht="15.75" customHeight="1">
      <c r="A82" s="27">
        <v>46135.0</v>
      </c>
      <c r="B82" s="35" t="s">
        <v>6</v>
      </c>
      <c r="C82" s="25">
        <v>29400.0</v>
      </c>
      <c r="D82" s="23"/>
      <c r="E82" s="8">
        <f t="shared" si="2"/>
        <v>146400</v>
      </c>
    </row>
    <row r="83" ht="15.75" customHeight="1">
      <c r="B83" s="35" t="s">
        <v>10</v>
      </c>
      <c r="C83" s="23"/>
      <c r="D83" s="25">
        <v>101400.0</v>
      </c>
      <c r="E83" s="8">
        <f t="shared" si="2"/>
        <v>45000</v>
      </c>
    </row>
    <row r="84" ht="15.75" customHeight="1">
      <c r="B84" s="35" t="s">
        <v>213</v>
      </c>
      <c r="C84" s="23"/>
      <c r="D84" s="25">
        <v>45000.0</v>
      </c>
      <c r="E84" s="8">
        <f t="shared" si="2"/>
        <v>0</v>
      </c>
    </row>
    <row r="85" ht="15.75" customHeight="1">
      <c r="A85" s="27">
        <v>46140.0</v>
      </c>
      <c r="B85" s="35" t="s">
        <v>6</v>
      </c>
      <c r="C85" s="25">
        <v>72000.0</v>
      </c>
      <c r="D85" s="23"/>
      <c r="E85" s="8">
        <f t="shared" si="2"/>
        <v>72000</v>
      </c>
      <c r="F85" s="35" t="s">
        <v>218</v>
      </c>
    </row>
    <row r="86" ht="15.75" customHeight="1">
      <c r="A86" s="27">
        <v>46145.0</v>
      </c>
      <c r="B86" s="35" t="s">
        <v>6</v>
      </c>
      <c r="C86" s="25">
        <v>136300.0</v>
      </c>
      <c r="D86" s="23"/>
      <c r="E86" s="8">
        <f t="shared" si="2"/>
        <v>208300</v>
      </c>
      <c r="F86" s="35" t="s">
        <v>221</v>
      </c>
    </row>
    <row r="87" ht="15.75" customHeight="1">
      <c r="A87" s="27"/>
      <c r="B87" s="35" t="s">
        <v>10</v>
      </c>
      <c r="C87" s="25"/>
      <c r="D87" s="25">
        <v>200000.0</v>
      </c>
      <c r="E87" s="8">
        <f t="shared" si="2"/>
        <v>8300</v>
      </c>
      <c r="F87" s="35"/>
    </row>
    <row r="88" ht="15.75" customHeight="1">
      <c r="A88" s="27">
        <v>46146.0</v>
      </c>
      <c r="B88" s="35" t="s">
        <v>6</v>
      </c>
      <c r="C88" s="25">
        <v>57600.0</v>
      </c>
      <c r="D88" s="23"/>
      <c r="E88" s="8">
        <f t="shared" si="2"/>
        <v>65900</v>
      </c>
      <c r="F88" s="35" t="s">
        <v>225</v>
      </c>
    </row>
    <row r="89" ht="15.75" customHeight="1">
      <c r="A89" s="27"/>
      <c r="B89" s="35" t="s">
        <v>10</v>
      </c>
      <c r="C89" s="23"/>
      <c r="D89" s="25">
        <v>57600.0</v>
      </c>
      <c r="E89" s="8">
        <f t="shared" si="2"/>
        <v>8300</v>
      </c>
    </row>
    <row r="90" ht="15.75" customHeight="1">
      <c r="A90" s="27">
        <v>46148.0</v>
      </c>
      <c r="B90" s="35" t="s">
        <v>6</v>
      </c>
      <c r="C90" s="25">
        <v>120600.0</v>
      </c>
      <c r="D90" s="25"/>
      <c r="E90" s="8">
        <f t="shared" si="2"/>
        <v>128900</v>
      </c>
      <c r="F90" s="35" t="s">
        <v>229</v>
      </c>
    </row>
    <row r="91" ht="15.75" customHeight="1">
      <c r="A91" s="27">
        <v>46151.0</v>
      </c>
      <c r="B91" s="35" t="s">
        <v>6</v>
      </c>
      <c r="C91" s="25">
        <v>61800.0</v>
      </c>
      <c r="D91" s="25"/>
      <c r="E91" s="8">
        <f t="shared" si="2"/>
        <v>190700</v>
      </c>
      <c r="F91" s="35" t="s">
        <v>234</v>
      </c>
    </row>
    <row r="92" ht="15.75" customHeight="1">
      <c r="B92" s="35" t="s">
        <v>10</v>
      </c>
      <c r="C92" s="23"/>
      <c r="D92" s="25">
        <v>190700.0</v>
      </c>
      <c r="E92" s="8">
        <f t="shared" si="2"/>
        <v>0</v>
      </c>
    </row>
    <row r="93" ht="15.75" customHeight="1">
      <c r="A93" s="27">
        <v>46154.0</v>
      </c>
      <c r="B93" s="35" t="s">
        <v>6</v>
      </c>
      <c r="C93" s="25">
        <v>56200.0</v>
      </c>
      <c r="D93" s="23"/>
      <c r="E93" s="8">
        <f t="shared" si="2"/>
        <v>56200</v>
      </c>
      <c r="F93" s="35" t="s">
        <v>239</v>
      </c>
    </row>
    <row r="94" ht="15.75" customHeight="1">
      <c r="A94" s="27">
        <v>46159.0</v>
      </c>
      <c r="B94" s="35" t="s">
        <v>6</v>
      </c>
      <c r="C94" s="25">
        <v>75000.0</v>
      </c>
      <c r="D94" s="23"/>
      <c r="E94" s="8">
        <f t="shared" si="2"/>
        <v>131200</v>
      </c>
      <c r="F94" s="35" t="s">
        <v>244</v>
      </c>
    </row>
    <row r="95" ht="15.75" customHeight="1">
      <c r="A95" s="27">
        <v>46159.0</v>
      </c>
      <c r="B95" s="35" t="s">
        <v>10</v>
      </c>
      <c r="C95" s="23"/>
      <c r="D95" s="25">
        <v>131200.0</v>
      </c>
      <c r="E95" s="8">
        <f t="shared" si="2"/>
        <v>0</v>
      </c>
    </row>
    <row r="96" ht="15.75" customHeight="1">
      <c r="A96" s="27">
        <v>46176.0</v>
      </c>
      <c r="B96" s="35" t="s">
        <v>6</v>
      </c>
      <c r="C96" s="25">
        <v>28800.0</v>
      </c>
      <c r="D96" s="23"/>
      <c r="E96" s="8">
        <f t="shared" si="2"/>
        <v>28800</v>
      </c>
      <c r="F96" s="35" t="s">
        <v>248</v>
      </c>
    </row>
    <row r="97" ht="15.75" customHeight="1">
      <c r="A97" s="27">
        <v>46181.0</v>
      </c>
      <c r="B97" s="35" t="s">
        <v>6</v>
      </c>
      <c r="C97" s="25">
        <v>50000.0</v>
      </c>
      <c r="D97" s="23"/>
      <c r="E97" s="8">
        <f t="shared" si="2"/>
        <v>78800</v>
      </c>
      <c r="F97" s="35" t="s">
        <v>251</v>
      </c>
    </row>
    <row r="98" ht="15.75" customHeight="1">
      <c r="A98" s="27">
        <v>46181.0</v>
      </c>
      <c r="B98" s="35" t="s">
        <v>10</v>
      </c>
      <c r="C98" s="23"/>
      <c r="D98" s="25">
        <v>50000.0</v>
      </c>
      <c r="E98" s="8">
        <f t="shared" si="2"/>
        <v>28800</v>
      </c>
    </row>
    <row r="99" ht="15.75" customHeight="1">
      <c r="A99" s="27">
        <v>46184.0</v>
      </c>
      <c r="B99" s="35" t="s">
        <v>6</v>
      </c>
      <c r="C99" s="25">
        <v>86400.0</v>
      </c>
      <c r="D99" s="23"/>
      <c r="E99" s="8">
        <f t="shared" si="2"/>
        <v>115200</v>
      </c>
      <c r="F99" s="35" t="s">
        <v>255</v>
      </c>
    </row>
    <row r="100" ht="15.75" customHeight="1">
      <c r="A100" s="27">
        <v>46184.0</v>
      </c>
      <c r="B100" s="35" t="s">
        <v>10</v>
      </c>
      <c r="C100" s="23"/>
      <c r="D100" s="25">
        <v>115000.0</v>
      </c>
      <c r="E100" s="8">
        <f t="shared" si="2"/>
        <v>200</v>
      </c>
    </row>
    <row r="101" ht="15.75" customHeight="1">
      <c r="A101" s="27">
        <v>46202.0</v>
      </c>
      <c r="B101" s="35" t="s">
        <v>6</v>
      </c>
      <c r="C101" s="25">
        <v>75000.0</v>
      </c>
      <c r="D101" s="23"/>
      <c r="E101" s="8">
        <f t="shared" si="2"/>
        <v>75200</v>
      </c>
      <c r="F101" s="35" t="s">
        <v>259</v>
      </c>
    </row>
    <row r="102" ht="15.75" customHeight="1">
      <c r="A102" s="27">
        <v>46203.0</v>
      </c>
      <c r="B102" s="35" t="s">
        <v>10</v>
      </c>
      <c r="C102" s="23"/>
      <c r="D102" s="25">
        <v>75000.0</v>
      </c>
      <c r="E102" s="8">
        <f t="shared" si="2"/>
        <v>200</v>
      </c>
    </row>
    <row r="103" ht="15.75" customHeight="1">
      <c r="A103" s="27">
        <v>46226.0</v>
      </c>
      <c r="B103" s="35" t="s">
        <v>6</v>
      </c>
      <c r="C103" s="25">
        <v>50000.0</v>
      </c>
      <c r="D103" s="23"/>
      <c r="E103" s="8">
        <f t="shared" si="2"/>
        <v>50200</v>
      </c>
      <c r="F103" s="35" t="s">
        <v>264</v>
      </c>
    </row>
    <row r="104" ht="15.75" customHeight="1">
      <c r="C104" s="23"/>
      <c r="D104" s="23"/>
      <c r="E104" s="8">
        <f t="shared" si="2"/>
        <v>50200</v>
      </c>
    </row>
    <row r="105" ht="15.75" customHeight="1">
      <c r="C105" s="23"/>
      <c r="D105" s="23"/>
      <c r="E105" s="23"/>
    </row>
    <row r="106" ht="15.75" customHeight="1">
      <c r="C106" s="23"/>
      <c r="D106" s="23"/>
      <c r="E106" s="23"/>
    </row>
    <row r="107" ht="15.75" customHeight="1">
      <c r="C107" s="23"/>
      <c r="D107" s="23"/>
      <c r="E107" s="23"/>
    </row>
    <row r="108" ht="15.75" customHeight="1">
      <c r="C108" s="23"/>
      <c r="D108" s="23"/>
      <c r="E108" s="23"/>
    </row>
    <row r="109" ht="15.75" customHeight="1">
      <c r="C109" s="23"/>
      <c r="D109" s="23"/>
      <c r="E109" s="23"/>
    </row>
    <row r="110" ht="15.75" customHeight="1">
      <c r="C110" s="23"/>
      <c r="D110" s="23"/>
      <c r="E110" s="23"/>
    </row>
    <row r="111" ht="15.75" customHeight="1">
      <c r="C111" s="23"/>
      <c r="D111" s="23"/>
      <c r="E111" s="23"/>
    </row>
    <row r="112" ht="15.75" customHeight="1">
      <c r="C112" s="23"/>
      <c r="D112" s="23"/>
      <c r="E112" s="23"/>
    </row>
    <row r="113" ht="15.75" customHeight="1">
      <c r="C113" s="23"/>
      <c r="D113" s="23"/>
      <c r="E113" s="23"/>
    </row>
    <row r="114" ht="15.75" customHeight="1">
      <c r="C114" s="23"/>
      <c r="D114" s="23"/>
      <c r="E114" s="23"/>
    </row>
    <row r="115" ht="15.75" customHeight="1">
      <c r="C115" s="23"/>
      <c r="D115" s="23"/>
      <c r="E115" s="23"/>
    </row>
    <row r="116" ht="15.75" customHeight="1">
      <c r="C116" s="23"/>
      <c r="D116" s="23"/>
      <c r="E116" s="23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57"/>
    <col customWidth="1" min="6" max="6" width="2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93">
        <v>46048.0</v>
      </c>
      <c r="B2" s="32" t="s">
        <v>6</v>
      </c>
      <c r="C2" s="95">
        <v>30000.0</v>
      </c>
      <c r="D2" s="96"/>
      <c r="E2" s="95">
        <v>30000.0</v>
      </c>
      <c r="F2" s="32" t="s">
        <v>349</v>
      </c>
      <c r="G2" s="35" t="s">
        <v>350</v>
      </c>
    </row>
    <row r="3">
      <c r="A3" s="93">
        <v>46051.0</v>
      </c>
      <c r="B3" s="32" t="s">
        <v>6</v>
      </c>
      <c r="C3" s="95">
        <v>206100.0</v>
      </c>
      <c r="D3" s="96"/>
      <c r="E3" s="95">
        <f t="shared" ref="E3:E15" si="1">C2+C3-D3</f>
        <v>236100</v>
      </c>
      <c r="F3" s="32" t="s">
        <v>351</v>
      </c>
      <c r="G3" s="35" t="s">
        <v>350</v>
      </c>
    </row>
    <row r="4">
      <c r="A4" s="93">
        <v>46057.0</v>
      </c>
      <c r="B4" s="32" t="s">
        <v>6</v>
      </c>
      <c r="C4" s="95">
        <v>358000.0</v>
      </c>
      <c r="D4" s="96"/>
      <c r="E4" s="95">
        <f t="shared" si="1"/>
        <v>564100</v>
      </c>
      <c r="F4" s="32" t="s">
        <v>352</v>
      </c>
      <c r="G4" s="35" t="s">
        <v>350</v>
      </c>
    </row>
    <row r="5">
      <c r="A5" s="93">
        <v>46061.0</v>
      </c>
      <c r="B5" s="32" t="s">
        <v>6</v>
      </c>
      <c r="C5" s="95">
        <v>15000.0</v>
      </c>
      <c r="D5" s="96"/>
      <c r="E5" s="95">
        <f t="shared" si="1"/>
        <v>373000</v>
      </c>
      <c r="F5" s="32" t="s">
        <v>353</v>
      </c>
      <c r="G5" s="35" t="s">
        <v>350</v>
      </c>
    </row>
    <row r="6">
      <c r="A6" s="93">
        <v>46071.0</v>
      </c>
      <c r="B6" s="32" t="s">
        <v>6</v>
      </c>
      <c r="C6" s="95">
        <v>114000.0</v>
      </c>
      <c r="D6" s="96"/>
      <c r="E6" s="95">
        <f t="shared" si="1"/>
        <v>129000</v>
      </c>
      <c r="F6" s="32" t="s">
        <v>354</v>
      </c>
      <c r="G6" s="35" t="s">
        <v>350</v>
      </c>
    </row>
    <row r="7">
      <c r="A7" s="93">
        <v>46072.0</v>
      </c>
      <c r="B7" s="32" t="s">
        <v>6</v>
      </c>
      <c r="C7" s="95">
        <v>28500.0</v>
      </c>
      <c r="D7" s="96"/>
      <c r="E7" s="95">
        <f t="shared" si="1"/>
        <v>142500</v>
      </c>
      <c r="F7" s="32" t="s">
        <v>355</v>
      </c>
      <c r="G7" s="35" t="s">
        <v>350</v>
      </c>
    </row>
    <row r="8">
      <c r="A8" s="93">
        <v>46072.0</v>
      </c>
      <c r="B8" s="32" t="s">
        <v>6</v>
      </c>
      <c r="C8" s="95">
        <v>33800.0</v>
      </c>
      <c r="D8" s="96"/>
      <c r="E8" s="95">
        <f t="shared" si="1"/>
        <v>62300</v>
      </c>
      <c r="F8" s="32" t="s">
        <v>356</v>
      </c>
      <c r="G8" s="35" t="s">
        <v>350</v>
      </c>
    </row>
    <row r="9">
      <c r="A9" s="93">
        <v>46092.0</v>
      </c>
      <c r="B9" s="32" t="s">
        <v>6</v>
      </c>
      <c r="C9" s="95">
        <v>32800.0</v>
      </c>
      <c r="D9" s="96"/>
      <c r="E9" s="95">
        <f t="shared" si="1"/>
        <v>66600</v>
      </c>
      <c r="F9" s="32" t="s">
        <v>357</v>
      </c>
      <c r="G9" s="35" t="s">
        <v>350</v>
      </c>
    </row>
    <row r="10">
      <c r="A10" s="93">
        <v>46098.0</v>
      </c>
      <c r="B10" s="32" t="s">
        <v>6</v>
      </c>
      <c r="C10" s="95">
        <v>202900.0</v>
      </c>
      <c r="D10" s="96"/>
      <c r="E10" s="95">
        <f t="shared" si="1"/>
        <v>235700</v>
      </c>
      <c r="F10" s="32" t="s">
        <v>358</v>
      </c>
      <c r="G10" s="35" t="s">
        <v>350</v>
      </c>
    </row>
    <row r="11">
      <c r="A11" s="93">
        <v>46111.0</v>
      </c>
      <c r="B11" s="32" t="s">
        <v>6</v>
      </c>
      <c r="C11" s="95">
        <v>30900.0</v>
      </c>
      <c r="D11" s="96"/>
      <c r="E11" s="95">
        <f t="shared" si="1"/>
        <v>233800</v>
      </c>
      <c r="F11" s="32" t="s">
        <v>359</v>
      </c>
      <c r="G11" s="35" t="s">
        <v>350</v>
      </c>
    </row>
    <row r="12">
      <c r="A12" s="93">
        <v>45403.0</v>
      </c>
      <c r="B12" s="32" t="s">
        <v>6</v>
      </c>
      <c r="C12" s="95">
        <v>66500.0</v>
      </c>
      <c r="D12" s="96"/>
      <c r="E12" s="95">
        <f t="shared" si="1"/>
        <v>97400</v>
      </c>
      <c r="F12" s="32" t="s">
        <v>361</v>
      </c>
      <c r="G12" s="35" t="s">
        <v>350</v>
      </c>
    </row>
    <row r="13">
      <c r="A13" s="93">
        <v>46134.0</v>
      </c>
      <c r="B13" s="32" t="s">
        <v>6</v>
      </c>
      <c r="C13" s="95">
        <v>166500.0</v>
      </c>
      <c r="D13" s="96"/>
      <c r="E13" s="95">
        <f t="shared" si="1"/>
        <v>233000</v>
      </c>
      <c r="F13" s="32" t="s">
        <v>362</v>
      </c>
      <c r="G13" s="35" t="s">
        <v>350</v>
      </c>
    </row>
    <row r="14">
      <c r="A14" s="93">
        <v>46135.0</v>
      </c>
      <c r="B14" s="32" t="s">
        <v>6</v>
      </c>
      <c r="C14" s="95">
        <v>57000.0</v>
      </c>
      <c r="D14" s="96"/>
      <c r="E14" s="95">
        <f t="shared" si="1"/>
        <v>223500</v>
      </c>
      <c r="F14" s="32" t="s">
        <v>363</v>
      </c>
      <c r="G14" s="35" t="s">
        <v>350</v>
      </c>
    </row>
    <row r="15">
      <c r="A15" s="93">
        <v>46138.0</v>
      </c>
      <c r="B15" s="32" t="s">
        <v>6</v>
      </c>
      <c r="C15" s="95">
        <v>57000.0</v>
      </c>
      <c r="D15" s="96"/>
      <c r="E15" s="95">
        <f t="shared" si="1"/>
        <v>114000</v>
      </c>
      <c r="F15" s="32" t="s">
        <v>364</v>
      </c>
      <c r="G15" s="35" t="s">
        <v>350</v>
      </c>
    </row>
    <row r="16">
      <c r="A16" s="103"/>
      <c r="C16" s="96"/>
      <c r="D16" s="96"/>
      <c r="E16" s="96"/>
    </row>
    <row r="17">
      <c r="A17" s="103"/>
      <c r="C17" s="96"/>
      <c r="D17" s="96"/>
      <c r="E17" s="96"/>
    </row>
    <row r="18">
      <c r="A18" s="103"/>
      <c r="C18" s="96"/>
      <c r="D18" s="96"/>
      <c r="E18" s="96"/>
    </row>
    <row r="19">
      <c r="A19" s="103"/>
      <c r="C19" s="96"/>
      <c r="D19" s="96"/>
      <c r="E19" s="96"/>
    </row>
    <row r="20">
      <c r="A20" s="103"/>
      <c r="C20" s="96"/>
      <c r="D20" s="96"/>
      <c r="E20" s="96"/>
    </row>
    <row r="21">
      <c r="A21" s="103"/>
      <c r="C21" s="96"/>
      <c r="D21" s="96"/>
      <c r="E21" s="96"/>
    </row>
    <row r="22">
      <c r="A22" s="103"/>
      <c r="C22" s="96"/>
      <c r="D22" s="96"/>
      <c r="E22" s="96"/>
    </row>
    <row r="23">
      <c r="A23" s="103"/>
      <c r="C23" s="96"/>
      <c r="D23" s="96"/>
      <c r="E23" s="96"/>
    </row>
    <row r="24">
      <c r="A24" s="103"/>
      <c r="C24" s="96"/>
      <c r="D24" s="96"/>
      <c r="E24" s="96"/>
    </row>
    <row r="25">
      <c r="A25" s="103"/>
      <c r="C25" s="96"/>
      <c r="D25" s="96"/>
      <c r="E25" s="96"/>
    </row>
    <row r="26">
      <c r="A26" s="103"/>
      <c r="C26" s="96"/>
      <c r="D26" s="96"/>
      <c r="E26" s="96"/>
    </row>
    <row r="27">
      <c r="A27" s="103"/>
      <c r="C27" s="96"/>
      <c r="D27" s="96"/>
      <c r="E27" s="96"/>
    </row>
    <row r="28">
      <c r="A28" s="103"/>
      <c r="C28" s="96"/>
      <c r="D28" s="96"/>
      <c r="E28" s="96"/>
    </row>
    <row r="29">
      <c r="A29" s="103"/>
      <c r="C29" s="96"/>
      <c r="D29" s="96"/>
      <c r="E29" s="96"/>
    </row>
    <row r="30">
      <c r="A30" s="103"/>
      <c r="C30" s="96"/>
      <c r="D30" s="96"/>
      <c r="E30" s="96"/>
    </row>
    <row r="31">
      <c r="A31" s="103"/>
      <c r="C31" s="96"/>
      <c r="D31" s="96"/>
      <c r="E31" s="96"/>
    </row>
    <row r="32">
      <c r="A32" s="103"/>
      <c r="C32" s="96"/>
      <c r="D32" s="96"/>
      <c r="E32" s="96"/>
    </row>
    <row r="33">
      <c r="A33" s="103"/>
      <c r="C33" s="96"/>
      <c r="D33" s="96"/>
      <c r="E33" s="96"/>
    </row>
    <row r="34">
      <c r="A34" s="103"/>
      <c r="C34" s="96"/>
      <c r="D34" s="96"/>
      <c r="E34" s="96"/>
    </row>
    <row r="35">
      <c r="A35" s="103"/>
      <c r="C35" s="96"/>
      <c r="D35" s="96"/>
      <c r="E35" s="96"/>
    </row>
    <row r="36">
      <c r="A36" s="103"/>
      <c r="C36" s="96"/>
      <c r="D36" s="96"/>
      <c r="E36" s="96"/>
    </row>
    <row r="37">
      <c r="A37" s="103"/>
      <c r="C37" s="96"/>
      <c r="D37" s="96"/>
      <c r="E37" s="96"/>
    </row>
    <row r="38">
      <c r="A38" s="103"/>
      <c r="C38" s="96"/>
      <c r="D38" s="96"/>
      <c r="E38" s="96"/>
    </row>
    <row r="39">
      <c r="A39" s="103"/>
      <c r="E39" s="104"/>
    </row>
    <row r="40">
      <c r="A40" s="103"/>
      <c r="E40" s="104"/>
    </row>
    <row r="41">
      <c r="A41" s="103"/>
      <c r="E41" s="104"/>
    </row>
    <row r="42">
      <c r="A42" s="103"/>
    </row>
    <row r="43">
      <c r="A43" s="10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6.14"/>
    <col customWidth="1" min="3" max="26" width="10.71"/>
  </cols>
  <sheetData>
    <row r="1">
      <c r="A1" s="91" t="s">
        <v>0</v>
      </c>
      <c r="B1" s="94" t="s">
        <v>1</v>
      </c>
      <c r="C1" s="94" t="s">
        <v>2</v>
      </c>
      <c r="D1" s="94" t="s">
        <v>3</v>
      </c>
      <c r="E1" s="97" t="s">
        <v>4</v>
      </c>
      <c r="F1" s="94" t="s">
        <v>5</v>
      </c>
    </row>
    <row r="2">
      <c r="A2" s="98">
        <v>46025.0</v>
      </c>
      <c r="B2" s="5" t="s">
        <v>6</v>
      </c>
      <c r="C2" s="99">
        <v>38600.0</v>
      </c>
      <c r="D2" s="100"/>
      <c r="E2" s="101">
        <f>C2</f>
        <v>38600</v>
      </c>
      <c r="F2" s="102"/>
    </row>
    <row r="3">
      <c r="A3" s="98">
        <v>46025.0</v>
      </c>
      <c r="B3" s="102" t="s">
        <v>10</v>
      </c>
      <c r="C3" s="100">
        <v>0.0</v>
      </c>
      <c r="D3" s="100">
        <v>20000.0</v>
      </c>
      <c r="E3" s="33">
        <f t="shared" ref="E3:E9" si="1">E2-D3+C3</f>
        <v>18600</v>
      </c>
      <c r="F3" s="102"/>
    </row>
    <row r="4">
      <c r="A4" s="27">
        <v>46043.0</v>
      </c>
      <c r="B4" s="102" t="s">
        <v>10</v>
      </c>
      <c r="C4" s="33"/>
      <c r="D4" s="34">
        <v>18500.0</v>
      </c>
      <c r="E4" s="33">
        <f t="shared" si="1"/>
        <v>100</v>
      </c>
      <c r="F4" s="33"/>
    </row>
    <row r="5">
      <c r="A5" s="27">
        <v>46043.0</v>
      </c>
      <c r="B5" s="5" t="s">
        <v>6</v>
      </c>
      <c r="C5" s="34">
        <v>42000.0</v>
      </c>
      <c r="D5" s="33"/>
      <c r="E5" s="33">
        <f t="shared" si="1"/>
        <v>42100</v>
      </c>
      <c r="F5" s="33"/>
    </row>
    <row r="6">
      <c r="A6" s="27">
        <v>46043.0</v>
      </c>
      <c r="B6" s="102" t="s">
        <v>10</v>
      </c>
      <c r="C6" s="33"/>
      <c r="D6" s="34">
        <v>11500.0</v>
      </c>
      <c r="E6" s="33">
        <f t="shared" si="1"/>
        <v>30600</v>
      </c>
      <c r="F6" s="33"/>
    </row>
    <row r="7">
      <c r="B7" s="35" t="s">
        <v>360</v>
      </c>
      <c r="C7" s="33"/>
      <c r="D7" s="34">
        <v>13100.0</v>
      </c>
      <c r="E7" s="33">
        <f t="shared" si="1"/>
        <v>17500</v>
      </c>
      <c r="F7" s="33"/>
    </row>
    <row r="8">
      <c r="A8" s="27">
        <v>46057.0</v>
      </c>
      <c r="B8" s="35" t="s">
        <v>10</v>
      </c>
      <c r="C8" s="33"/>
      <c r="D8" s="34">
        <v>17500.0</v>
      </c>
      <c r="E8" s="33">
        <f t="shared" si="1"/>
        <v>0</v>
      </c>
      <c r="F8" s="33"/>
    </row>
    <row r="9">
      <c r="C9" s="33"/>
      <c r="D9" s="33"/>
      <c r="E9" s="33">
        <f t="shared" si="1"/>
        <v>0</v>
      </c>
      <c r="F9" s="33"/>
    </row>
    <row r="10">
      <c r="C10" s="33"/>
      <c r="D10" s="33"/>
      <c r="E10" s="33"/>
      <c r="F10" s="33"/>
    </row>
    <row r="11">
      <c r="C11" s="33"/>
      <c r="D11" s="33"/>
      <c r="E11" s="33"/>
      <c r="F11" s="33"/>
    </row>
    <row r="12">
      <c r="C12" s="33"/>
      <c r="D12" s="33"/>
      <c r="E12" s="33"/>
      <c r="F12" s="33"/>
    </row>
    <row r="13">
      <c r="C13" s="33"/>
      <c r="D13" s="33"/>
      <c r="E13" s="33"/>
      <c r="F13" s="33"/>
    </row>
    <row r="14">
      <c r="C14" s="33"/>
      <c r="D14" s="33"/>
      <c r="E14" s="33"/>
      <c r="F14" s="33"/>
    </row>
    <row r="15">
      <c r="C15" s="33"/>
      <c r="D15" s="33"/>
      <c r="E15" s="33"/>
      <c r="F15" s="33"/>
    </row>
    <row r="16">
      <c r="C16" s="33"/>
      <c r="D16" s="33"/>
      <c r="E16" s="33"/>
      <c r="F16" s="33"/>
    </row>
    <row r="17">
      <c r="C17" s="33"/>
      <c r="D17" s="33"/>
      <c r="E17" s="33"/>
      <c r="F17" s="33"/>
    </row>
    <row r="18">
      <c r="C18" s="33"/>
      <c r="D18" s="33"/>
      <c r="E18" s="33"/>
      <c r="F18" s="33"/>
    </row>
    <row r="19">
      <c r="C19" s="33"/>
      <c r="D19" s="33"/>
      <c r="E19" s="33"/>
      <c r="F19" s="33"/>
    </row>
    <row r="20">
      <c r="C20" s="33"/>
      <c r="D20" s="33"/>
      <c r="E20" s="33"/>
      <c r="F20" s="33"/>
    </row>
    <row r="21">
      <c r="C21" s="33"/>
      <c r="D21" s="33"/>
      <c r="E21" s="33"/>
      <c r="F21" s="33"/>
    </row>
    <row r="22" ht="15.75" customHeight="1">
      <c r="C22" s="33"/>
      <c r="D22" s="33"/>
      <c r="E22" s="33"/>
      <c r="F22" s="33"/>
    </row>
    <row r="23" ht="15.75" customHeight="1">
      <c r="C23" s="33"/>
      <c r="D23" s="33"/>
      <c r="E23" s="33"/>
      <c r="F23" s="33"/>
    </row>
    <row r="24" ht="15.75" customHeight="1">
      <c r="C24" s="33"/>
      <c r="D24" s="33"/>
      <c r="E24" s="33"/>
      <c r="F24" s="33"/>
    </row>
    <row r="25" ht="15.75" customHeight="1">
      <c r="C25" s="33"/>
      <c r="D25" s="33"/>
      <c r="E25" s="33"/>
      <c r="F25" s="33"/>
    </row>
    <row r="26" ht="15.75" customHeight="1">
      <c r="C26" s="33"/>
      <c r="D26" s="33"/>
      <c r="E26" s="33"/>
      <c r="F26" s="33"/>
    </row>
    <row r="27" ht="15.75" customHeight="1">
      <c r="C27" s="33"/>
      <c r="D27" s="33"/>
      <c r="E27" s="33"/>
      <c r="F27" s="33"/>
    </row>
    <row r="28" ht="15.75" customHeight="1">
      <c r="C28" s="33"/>
      <c r="D28" s="33"/>
      <c r="E28" s="33"/>
      <c r="F28" s="3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6.29"/>
    <col customWidth="1" min="3" max="3" width="10.71"/>
    <col customWidth="1" min="4" max="4" width="14.0"/>
    <col customWidth="1" min="5" max="5" width="19.71"/>
    <col customWidth="1" min="6" max="6" width="35.57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05" t="s">
        <v>4</v>
      </c>
      <c r="F1" s="1" t="s">
        <v>5</v>
      </c>
    </row>
    <row r="2">
      <c r="A2" s="3">
        <v>45860.0</v>
      </c>
      <c r="B2" s="5" t="s">
        <v>6</v>
      </c>
      <c r="C2" s="7">
        <v>357200.0</v>
      </c>
      <c r="D2" s="7">
        <v>0.0</v>
      </c>
      <c r="E2" s="106">
        <v>357200.0</v>
      </c>
      <c r="F2" s="5" t="s">
        <v>365</v>
      </c>
    </row>
    <row r="3">
      <c r="A3" s="4">
        <v>45862.0</v>
      </c>
      <c r="B3" s="6" t="s">
        <v>10</v>
      </c>
      <c r="C3" s="8">
        <v>0.0</v>
      </c>
      <c r="D3" s="8">
        <v>137000.0</v>
      </c>
      <c r="E3" s="108">
        <v>220200.0</v>
      </c>
      <c r="F3" s="6"/>
    </row>
    <row r="4">
      <c r="A4" s="3">
        <v>45874.0</v>
      </c>
      <c r="B4" s="5" t="s">
        <v>6</v>
      </c>
      <c r="C4" s="7">
        <v>34200.0</v>
      </c>
      <c r="D4" s="7">
        <v>0.0</v>
      </c>
      <c r="E4" s="106">
        <v>254400.0</v>
      </c>
      <c r="F4" s="5" t="s">
        <v>7</v>
      </c>
    </row>
    <row r="5">
      <c r="A5" s="4">
        <v>45876.0</v>
      </c>
      <c r="B5" s="6" t="s">
        <v>6</v>
      </c>
      <c r="C5" s="8">
        <v>121600.0</v>
      </c>
      <c r="D5" s="8">
        <v>0.0</v>
      </c>
      <c r="E5" s="108">
        <v>376000.0</v>
      </c>
      <c r="F5" s="6" t="s">
        <v>366</v>
      </c>
    </row>
    <row r="6">
      <c r="A6" s="3">
        <v>45881.0</v>
      </c>
      <c r="B6" s="5" t="s">
        <v>10</v>
      </c>
      <c r="C6" s="7">
        <v>0.0</v>
      </c>
      <c r="D6" s="7">
        <v>233500.0</v>
      </c>
      <c r="E6" s="106">
        <v>142500.0</v>
      </c>
      <c r="F6" s="5"/>
    </row>
    <row r="7">
      <c r="A7" s="3">
        <v>45888.0</v>
      </c>
      <c r="B7" s="5" t="s">
        <v>10</v>
      </c>
      <c r="C7" s="7">
        <v>0.0</v>
      </c>
      <c r="D7" s="7">
        <v>102000.0</v>
      </c>
      <c r="E7" s="106">
        <v>62100.0</v>
      </c>
      <c r="F7" s="5"/>
    </row>
    <row r="8">
      <c r="A8" s="4">
        <v>45888.0</v>
      </c>
      <c r="B8" s="6" t="s">
        <v>6</v>
      </c>
      <c r="C8" s="8">
        <v>21600.0</v>
      </c>
      <c r="D8" s="8">
        <v>0.0</v>
      </c>
      <c r="E8" s="108">
        <v>164100.0</v>
      </c>
      <c r="F8" s="6" t="s">
        <v>7</v>
      </c>
    </row>
    <row r="9">
      <c r="A9" s="4">
        <v>45890.0</v>
      </c>
      <c r="B9" s="6" t="s">
        <v>6</v>
      </c>
      <c r="C9" s="8">
        <v>134000.0</v>
      </c>
      <c r="D9" s="8">
        <v>0.0</v>
      </c>
      <c r="E9" s="108">
        <v>196100.0</v>
      </c>
      <c r="F9" s="6" t="s">
        <v>7</v>
      </c>
    </row>
    <row r="10">
      <c r="A10" s="4">
        <v>45899.0</v>
      </c>
      <c r="B10" s="6" t="s">
        <v>10</v>
      </c>
      <c r="C10" s="8">
        <v>0.0</v>
      </c>
      <c r="D10" s="8">
        <v>127500.0</v>
      </c>
      <c r="E10" s="108">
        <v>1600.0</v>
      </c>
      <c r="F10" s="6"/>
    </row>
    <row r="11">
      <c r="A11" s="3">
        <v>45899.0</v>
      </c>
      <c r="B11" s="5" t="s">
        <v>10</v>
      </c>
      <c r="C11" s="7">
        <v>0.0</v>
      </c>
      <c r="D11" s="7">
        <v>67000.0</v>
      </c>
      <c r="E11" s="106">
        <v>129100.0</v>
      </c>
      <c r="F11" s="5"/>
    </row>
    <row r="12">
      <c r="A12" s="3">
        <v>45900.0</v>
      </c>
      <c r="B12" s="5" t="s">
        <v>6</v>
      </c>
      <c r="C12" s="7">
        <v>97280.0</v>
      </c>
      <c r="D12" s="7">
        <v>0.0</v>
      </c>
      <c r="E12" s="106">
        <v>98880.0</v>
      </c>
      <c r="F12" s="5" t="s">
        <v>7</v>
      </c>
    </row>
    <row r="13">
      <c r="A13" s="4">
        <v>45907.0</v>
      </c>
      <c r="B13" s="6" t="s">
        <v>10</v>
      </c>
      <c r="C13" s="8">
        <v>0.0</v>
      </c>
      <c r="D13" s="8">
        <v>97000.0</v>
      </c>
      <c r="E13" s="108">
        <v>1880.0</v>
      </c>
      <c r="F13" s="6"/>
    </row>
    <row r="14">
      <c r="A14" s="3">
        <v>45918.0</v>
      </c>
      <c r="B14" s="5" t="s">
        <v>6</v>
      </c>
      <c r="C14" s="7">
        <v>69320.0</v>
      </c>
      <c r="D14" s="7">
        <v>0.0</v>
      </c>
      <c r="E14" s="106">
        <v>71200.0</v>
      </c>
      <c r="F14" s="5" t="s">
        <v>373</v>
      </c>
    </row>
    <row r="15">
      <c r="A15" s="4">
        <v>45922.0</v>
      </c>
      <c r="B15" s="6" t="s">
        <v>6</v>
      </c>
      <c r="C15" s="8">
        <v>51320.0</v>
      </c>
      <c r="D15" s="8">
        <v>0.0</v>
      </c>
      <c r="E15" s="108">
        <v>122520.0</v>
      </c>
      <c r="F15" s="6" t="s">
        <v>374</v>
      </c>
    </row>
    <row r="16">
      <c r="A16" s="3">
        <v>45927.0</v>
      </c>
      <c r="B16" s="5" t="s">
        <v>10</v>
      </c>
      <c r="C16" s="7">
        <v>0.0</v>
      </c>
      <c r="D16" s="7">
        <v>69300.0</v>
      </c>
      <c r="E16" s="106">
        <v>53220.0</v>
      </c>
      <c r="F16" s="5"/>
    </row>
    <row r="17">
      <c r="A17" s="4">
        <v>45932.0</v>
      </c>
      <c r="B17" s="6" t="s">
        <v>6</v>
      </c>
      <c r="C17" s="8">
        <v>54720.0</v>
      </c>
      <c r="D17" s="8">
        <v>0.0</v>
      </c>
      <c r="E17" s="108">
        <v>107940.0</v>
      </c>
      <c r="F17" s="6" t="s">
        <v>36</v>
      </c>
    </row>
    <row r="18">
      <c r="A18" s="4">
        <v>45935.0</v>
      </c>
      <c r="B18" s="6" t="s">
        <v>10</v>
      </c>
      <c r="C18" s="8">
        <v>0.0</v>
      </c>
      <c r="D18" s="8">
        <v>51000.0</v>
      </c>
      <c r="E18" s="108">
        <v>62940.0</v>
      </c>
      <c r="F18" s="6"/>
    </row>
    <row r="19">
      <c r="A19" s="3">
        <v>45935.0</v>
      </c>
      <c r="B19" s="5" t="s">
        <v>6</v>
      </c>
      <c r="C19" s="7">
        <v>6000.0</v>
      </c>
      <c r="D19" s="7">
        <v>0.0</v>
      </c>
      <c r="E19" s="106">
        <v>113940.0</v>
      </c>
      <c r="F19" s="5" t="s">
        <v>377</v>
      </c>
    </row>
    <row r="20">
      <c r="A20" s="3">
        <v>45939.0</v>
      </c>
      <c r="B20" s="5" t="s">
        <v>10</v>
      </c>
      <c r="C20" s="7">
        <v>0.0</v>
      </c>
      <c r="D20" s="7">
        <v>54000.0</v>
      </c>
      <c r="E20" s="106">
        <v>8940.0</v>
      </c>
      <c r="F20" s="5"/>
    </row>
    <row r="21" ht="15.75" customHeight="1">
      <c r="A21" s="4">
        <v>45942.0</v>
      </c>
      <c r="B21" s="6" t="s">
        <v>6</v>
      </c>
      <c r="C21" s="8">
        <v>7500.0</v>
      </c>
      <c r="D21" s="8">
        <v>0.0</v>
      </c>
      <c r="E21" s="108">
        <v>16440.0</v>
      </c>
      <c r="F21" s="6" t="s">
        <v>380</v>
      </c>
    </row>
    <row r="22" ht="15.75" customHeight="1">
      <c r="A22" s="3">
        <v>45943.0</v>
      </c>
      <c r="B22" s="5" t="s">
        <v>6</v>
      </c>
      <c r="C22" s="7">
        <v>60000.0</v>
      </c>
      <c r="D22" s="7">
        <v>0.0</v>
      </c>
      <c r="E22" s="106">
        <v>76440.0</v>
      </c>
      <c r="F22" s="5" t="s">
        <v>382</v>
      </c>
    </row>
    <row r="23" ht="15.75" customHeight="1">
      <c r="A23" s="4">
        <v>45945.0</v>
      </c>
      <c r="B23" s="6" t="s">
        <v>6</v>
      </c>
      <c r="C23" s="8">
        <v>30000.0</v>
      </c>
      <c r="D23" s="8">
        <v>0.0</v>
      </c>
      <c r="E23" s="108">
        <v>106440.0</v>
      </c>
      <c r="F23" s="6" t="s">
        <v>383</v>
      </c>
    </row>
    <row r="24" ht="15.75" customHeight="1">
      <c r="A24" s="4">
        <v>45953.0</v>
      </c>
      <c r="B24" s="6" t="s">
        <v>10</v>
      </c>
      <c r="C24" s="8">
        <v>0.0</v>
      </c>
      <c r="D24" s="8">
        <v>73500.0</v>
      </c>
      <c r="E24" s="108">
        <v>2940.0</v>
      </c>
      <c r="F24" s="6"/>
    </row>
    <row r="25" ht="15.75" customHeight="1">
      <c r="A25" s="3">
        <v>45953.0</v>
      </c>
      <c r="B25" s="5" t="s">
        <v>10</v>
      </c>
      <c r="C25" s="7">
        <v>0.0</v>
      </c>
      <c r="D25" s="7">
        <v>30000.0</v>
      </c>
      <c r="E25" s="106">
        <v>76440.0</v>
      </c>
      <c r="F25" s="5"/>
    </row>
    <row r="26" ht="15.75" customHeight="1">
      <c r="A26" s="3">
        <v>45964.0</v>
      </c>
      <c r="B26" s="5" t="s">
        <v>6</v>
      </c>
      <c r="C26" s="7">
        <v>24000.0</v>
      </c>
      <c r="D26" s="7">
        <v>0.0</v>
      </c>
      <c r="E26" s="106">
        <v>26940.0</v>
      </c>
      <c r="F26" s="5" t="s">
        <v>384</v>
      </c>
    </row>
    <row r="27" ht="15.75" customHeight="1">
      <c r="A27" s="4">
        <v>45965.0</v>
      </c>
      <c r="B27" s="6" t="s">
        <v>6</v>
      </c>
      <c r="C27" s="8">
        <v>12000.0</v>
      </c>
      <c r="D27" s="8">
        <v>0.0</v>
      </c>
      <c r="E27" s="108">
        <v>38940.0</v>
      </c>
      <c r="F27" s="6" t="s">
        <v>385</v>
      </c>
    </row>
    <row r="28" ht="15.75" customHeight="1">
      <c r="A28" s="3">
        <v>45979.0</v>
      </c>
      <c r="B28" s="5" t="s">
        <v>6</v>
      </c>
      <c r="C28" s="7">
        <v>36000.0</v>
      </c>
      <c r="D28" s="7">
        <v>0.0</v>
      </c>
      <c r="E28" s="106">
        <v>74940.0</v>
      </c>
      <c r="F28" s="5" t="s">
        <v>386</v>
      </c>
    </row>
    <row r="29" ht="15.75" customHeight="1">
      <c r="A29" s="4">
        <v>45984.0</v>
      </c>
      <c r="B29" s="6" t="s">
        <v>6</v>
      </c>
      <c r="C29" s="8">
        <v>48000.0</v>
      </c>
      <c r="D29" s="8">
        <v>0.0</v>
      </c>
      <c r="E29" s="108">
        <v>122940.0</v>
      </c>
      <c r="F29" s="6" t="s">
        <v>387</v>
      </c>
    </row>
    <row r="30" ht="15.75" customHeight="1">
      <c r="A30" s="3">
        <v>45988.0</v>
      </c>
      <c r="B30" s="5" t="s">
        <v>10</v>
      </c>
      <c r="C30" s="7">
        <v>0.0</v>
      </c>
      <c r="D30" s="7">
        <v>123000.0</v>
      </c>
      <c r="E30" s="106">
        <v>-60.0</v>
      </c>
      <c r="F30" s="5"/>
    </row>
    <row r="31" ht="15.75" customHeight="1">
      <c r="A31" s="4">
        <v>45999.0</v>
      </c>
      <c r="B31" s="6" t="s">
        <v>6</v>
      </c>
      <c r="C31" s="8">
        <v>15000.0</v>
      </c>
      <c r="D31" s="8">
        <v>0.0</v>
      </c>
      <c r="E31" s="108">
        <v>14940.0</v>
      </c>
      <c r="F31" s="6" t="s">
        <v>388</v>
      </c>
    </row>
    <row r="32" ht="15.75" customHeight="1">
      <c r="A32" s="3">
        <v>46001.0</v>
      </c>
      <c r="B32" s="5" t="s">
        <v>6</v>
      </c>
      <c r="C32" s="7">
        <v>15000.0</v>
      </c>
      <c r="D32" s="7">
        <v>0.0</v>
      </c>
      <c r="E32" s="106">
        <v>29940.0</v>
      </c>
      <c r="F32" s="5" t="s">
        <v>389</v>
      </c>
    </row>
    <row r="33" ht="15.75" customHeight="1">
      <c r="A33" s="4">
        <v>46015.0</v>
      </c>
      <c r="B33" s="6" t="s">
        <v>10</v>
      </c>
      <c r="C33" s="8">
        <v>0.0</v>
      </c>
      <c r="D33" s="8">
        <v>15000.0</v>
      </c>
      <c r="E33" s="108">
        <v>14940.0</v>
      </c>
      <c r="F33" s="6"/>
    </row>
    <row r="34" ht="15.75" customHeight="1">
      <c r="A34" s="24">
        <v>46027.0</v>
      </c>
      <c r="B34" s="5" t="s">
        <v>6</v>
      </c>
      <c r="C34" s="34">
        <v>28800.0</v>
      </c>
      <c r="D34" s="33"/>
      <c r="E34" s="108">
        <f t="shared" ref="E34:E37" si="1">E33+C34-D34</f>
        <v>43740</v>
      </c>
      <c r="F34" s="35" t="s">
        <v>390</v>
      </c>
    </row>
    <row r="35" ht="15.75" customHeight="1">
      <c r="A35" s="24">
        <v>46040.0</v>
      </c>
      <c r="B35" s="6" t="s">
        <v>10</v>
      </c>
      <c r="C35" s="33"/>
      <c r="D35" s="34">
        <v>43800.0</v>
      </c>
      <c r="E35" s="108">
        <f t="shared" si="1"/>
        <v>-60</v>
      </c>
    </row>
    <row r="36" ht="15.75" customHeight="1">
      <c r="A36" s="24">
        <v>46048.0</v>
      </c>
      <c r="B36" s="5" t="s">
        <v>6</v>
      </c>
      <c r="C36" s="34">
        <v>16500.0</v>
      </c>
      <c r="D36" s="33"/>
      <c r="E36" s="108">
        <f t="shared" si="1"/>
        <v>16440</v>
      </c>
      <c r="F36" s="35" t="s">
        <v>391</v>
      </c>
    </row>
    <row r="37" ht="15.75" customHeight="1">
      <c r="A37" s="24">
        <v>46054.0</v>
      </c>
      <c r="B37" s="6" t="s">
        <v>10</v>
      </c>
      <c r="C37" s="33"/>
      <c r="D37" s="34">
        <v>16500.0</v>
      </c>
      <c r="E37" s="108">
        <f t="shared" si="1"/>
        <v>-60</v>
      </c>
    </row>
    <row r="38" ht="15.75" customHeight="1">
      <c r="A38" s="92"/>
      <c r="C38" s="33"/>
      <c r="D38" s="33"/>
      <c r="E38" s="118"/>
    </row>
    <row r="39" ht="15.75" customHeight="1">
      <c r="A39" s="92"/>
      <c r="C39" s="33"/>
      <c r="D39" s="33"/>
      <c r="E39" s="118"/>
    </row>
    <row r="40" ht="15.75" customHeight="1">
      <c r="A40" s="92"/>
      <c r="C40" s="33"/>
      <c r="D40" s="33"/>
      <c r="E40" s="118"/>
    </row>
    <row r="41" ht="15.75" customHeight="1">
      <c r="A41" s="92"/>
      <c r="C41" s="33"/>
      <c r="D41" s="33"/>
      <c r="E41" s="118"/>
    </row>
    <row r="42" ht="15.75" customHeight="1">
      <c r="A42" s="92"/>
      <c r="C42" s="33"/>
      <c r="D42" s="33"/>
      <c r="E42" s="118"/>
    </row>
    <row r="43" ht="15.75" customHeight="1">
      <c r="A43" s="92"/>
      <c r="C43" s="33"/>
      <c r="D43" s="33"/>
      <c r="E43" s="118"/>
    </row>
    <row r="44" ht="15.75" customHeight="1">
      <c r="A44" s="92"/>
      <c r="C44" s="33"/>
      <c r="D44" s="33"/>
      <c r="E44" s="118"/>
    </row>
    <row r="45" ht="15.75" customHeight="1">
      <c r="A45" s="92"/>
      <c r="C45" s="33"/>
      <c r="D45" s="33"/>
      <c r="E45" s="118"/>
    </row>
    <row r="46" ht="15.75" customHeight="1">
      <c r="A46" s="92"/>
      <c r="C46" s="33"/>
      <c r="D46" s="33"/>
      <c r="E46" s="118"/>
    </row>
    <row r="47" ht="15.75" customHeight="1">
      <c r="A47" s="92"/>
      <c r="C47" s="33"/>
      <c r="D47" s="33"/>
      <c r="E47" s="118"/>
    </row>
    <row r="48" ht="15.75" customHeight="1">
      <c r="A48" s="92"/>
      <c r="C48" s="33"/>
      <c r="D48" s="33"/>
      <c r="E48" s="118"/>
    </row>
    <row r="49" ht="15.75" customHeight="1">
      <c r="A49" s="92"/>
      <c r="C49" s="33"/>
      <c r="D49" s="33"/>
      <c r="E49" s="118"/>
    </row>
    <row r="50" ht="15.75" customHeight="1">
      <c r="A50" s="92"/>
      <c r="C50" s="33"/>
      <c r="D50" s="33"/>
      <c r="E50" s="118"/>
    </row>
    <row r="51" ht="15.75" customHeight="1">
      <c r="A51" s="92"/>
      <c r="C51" s="33"/>
      <c r="D51" s="33"/>
      <c r="E51" s="118"/>
    </row>
    <row r="52" ht="15.75" customHeight="1">
      <c r="A52" s="92"/>
      <c r="C52" s="33"/>
      <c r="D52" s="33"/>
      <c r="E52" s="118"/>
    </row>
    <row r="53" ht="15.75" customHeight="1">
      <c r="A53" s="92"/>
      <c r="C53" s="33"/>
      <c r="D53" s="33"/>
      <c r="E53" s="118"/>
    </row>
    <row r="54" ht="15.75" customHeight="1">
      <c r="A54" s="92"/>
      <c r="C54" s="33"/>
      <c r="D54" s="33"/>
      <c r="E54" s="118"/>
    </row>
    <row r="55" ht="15.75" customHeight="1">
      <c r="A55" s="92"/>
      <c r="C55" s="33"/>
      <c r="D55" s="33"/>
      <c r="E55" s="118"/>
    </row>
    <row r="56" ht="15.75" customHeight="1">
      <c r="A56" s="92"/>
      <c r="C56" s="33"/>
      <c r="D56" s="33"/>
      <c r="E56" s="118"/>
    </row>
    <row r="57" ht="15.75" customHeight="1">
      <c r="A57" s="92"/>
      <c r="C57" s="33"/>
      <c r="D57" s="33"/>
      <c r="E57" s="118"/>
    </row>
    <row r="58" ht="15.75" customHeight="1">
      <c r="A58" s="92"/>
      <c r="C58" s="33"/>
      <c r="D58" s="33"/>
      <c r="E58" s="118"/>
    </row>
    <row r="59" ht="15.75" customHeight="1">
      <c r="A59" s="92"/>
      <c r="C59" s="33"/>
      <c r="D59" s="33"/>
      <c r="E59" s="118"/>
    </row>
    <row r="60" ht="15.75" customHeight="1">
      <c r="A60" s="92"/>
      <c r="C60" s="33"/>
      <c r="D60" s="33"/>
      <c r="E60" s="118"/>
    </row>
    <row r="61" ht="15.75" customHeight="1">
      <c r="A61" s="92"/>
      <c r="C61" s="33"/>
      <c r="D61" s="33"/>
      <c r="E61" s="118"/>
    </row>
    <row r="62" ht="15.75" customHeight="1">
      <c r="A62" s="92"/>
      <c r="E62" s="118"/>
    </row>
    <row r="63" ht="15.75" customHeight="1">
      <c r="A63" s="92"/>
      <c r="E63" s="118"/>
    </row>
    <row r="64" ht="15.75" customHeight="1">
      <c r="A64" s="92"/>
      <c r="E64" s="118"/>
    </row>
    <row r="65" ht="15.75" customHeight="1">
      <c r="A65" s="92"/>
      <c r="E65" s="118"/>
    </row>
    <row r="66" ht="15.75" customHeight="1">
      <c r="A66" s="92"/>
      <c r="E66" s="118"/>
    </row>
    <row r="67" ht="15.75" customHeight="1">
      <c r="A67" s="92"/>
      <c r="E67" s="118"/>
    </row>
    <row r="68" ht="15.75" customHeight="1">
      <c r="A68" s="92"/>
      <c r="E68" s="118"/>
    </row>
    <row r="69" ht="15.75" customHeight="1">
      <c r="A69" s="92"/>
      <c r="E69" s="118"/>
    </row>
    <row r="70" ht="15.75" customHeight="1">
      <c r="A70" s="92"/>
      <c r="E70" s="118"/>
    </row>
    <row r="71" ht="15.75" customHeight="1">
      <c r="A71" s="92"/>
      <c r="E71" s="118"/>
    </row>
    <row r="72" ht="15.75" customHeight="1">
      <c r="A72" s="92"/>
      <c r="E72" s="118"/>
    </row>
    <row r="73" ht="15.75" customHeight="1">
      <c r="A73" s="92"/>
      <c r="E73" s="118"/>
    </row>
    <row r="74" ht="15.75" customHeight="1">
      <c r="A74" s="92"/>
      <c r="E74" s="118"/>
    </row>
    <row r="75" ht="15.75" customHeight="1">
      <c r="A75" s="92"/>
      <c r="E75" s="118"/>
    </row>
    <row r="76" ht="15.75" customHeight="1">
      <c r="A76" s="92"/>
      <c r="E76" s="118"/>
    </row>
    <row r="77" ht="15.75" customHeight="1">
      <c r="A77" s="92"/>
      <c r="E77" s="118"/>
    </row>
    <row r="78" ht="15.75" customHeight="1">
      <c r="A78" s="92"/>
      <c r="E78" s="118"/>
    </row>
    <row r="79" ht="15.75" customHeight="1">
      <c r="A79" s="92"/>
      <c r="E79" s="118"/>
    </row>
    <row r="80" ht="15.75" customHeight="1">
      <c r="E80" s="118"/>
    </row>
    <row r="81" ht="15.75" customHeight="1">
      <c r="E81" s="118"/>
    </row>
    <row r="82" ht="15.75" customHeight="1">
      <c r="E82" s="118"/>
    </row>
    <row r="83" ht="15.75" customHeight="1">
      <c r="E83" s="118"/>
    </row>
    <row r="84" ht="15.75" customHeight="1">
      <c r="E84" s="118"/>
    </row>
    <row r="85" ht="15.75" customHeight="1">
      <c r="E85" s="118"/>
    </row>
    <row r="86" ht="15.75" customHeight="1">
      <c r="E86" s="118"/>
    </row>
    <row r="87" ht="15.75" customHeight="1">
      <c r="E87" s="118"/>
    </row>
    <row r="88" ht="15.75" customHeight="1">
      <c r="E88" s="118"/>
    </row>
    <row r="89" ht="15.75" customHeight="1">
      <c r="E89" s="118"/>
    </row>
    <row r="90" ht="15.75" customHeight="1">
      <c r="E90" s="118"/>
    </row>
    <row r="91" ht="15.75" customHeight="1">
      <c r="E91" s="118"/>
    </row>
    <row r="92" ht="15.75" customHeight="1">
      <c r="E92" s="118"/>
    </row>
    <row r="93" ht="15.75" customHeight="1">
      <c r="E93" s="118"/>
    </row>
    <row r="94" ht="15.75" customHeight="1">
      <c r="E94" s="118"/>
    </row>
    <row r="95" ht="15.75" customHeight="1">
      <c r="E95" s="118"/>
    </row>
    <row r="96" ht="15.75" customHeight="1">
      <c r="E96" s="118"/>
    </row>
    <row r="97" ht="15.75" customHeight="1">
      <c r="E97" s="118"/>
    </row>
    <row r="98" ht="15.75" customHeight="1">
      <c r="E98" s="118"/>
    </row>
    <row r="99" ht="15.75" customHeight="1">
      <c r="E99" s="118"/>
    </row>
    <row r="100" ht="15.75" customHeight="1">
      <c r="E100" s="118"/>
    </row>
    <row r="101" ht="15.75" customHeight="1">
      <c r="E101" s="118"/>
    </row>
    <row r="102" ht="15.75" customHeight="1">
      <c r="E102" s="118"/>
    </row>
    <row r="103" ht="15.75" customHeight="1">
      <c r="E103" s="118"/>
    </row>
    <row r="104" ht="15.75" customHeight="1">
      <c r="E104" s="118"/>
    </row>
    <row r="105" ht="15.75" customHeight="1">
      <c r="E105" s="118"/>
    </row>
    <row r="106" ht="15.75" customHeight="1">
      <c r="E106" s="118"/>
    </row>
    <row r="107" ht="15.75" customHeight="1">
      <c r="E107" s="118"/>
    </row>
    <row r="108" ht="15.75" customHeight="1">
      <c r="E108" s="118"/>
    </row>
    <row r="109" ht="15.75" customHeight="1">
      <c r="E109" s="118"/>
    </row>
    <row r="110" ht="15.75" customHeight="1">
      <c r="E110" s="118"/>
    </row>
    <row r="111" ht="15.75" customHeight="1">
      <c r="E111" s="118"/>
    </row>
    <row r="112" ht="15.75" customHeight="1">
      <c r="E112" s="118"/>
    </row>
    <row r="113" ht="15.75" customHeight="1">
      <c r="E113" s="118"/>
    </row>
    <row r="114" ht="15.75" customHeight="1">
      <c r="E114" s="118"/>
    </row>
    <row r="115" ht="15.75" customHeight="1">
      <c r="E115" s="118"/>
    </row>
    <row r="116" ht="15.75" customHeight="1">
      <c r="E116" s="118"/>
    </row>
    <row r="117" ht="15.75" customHeight="1">
      <c r="E117" s="118"/>
    </row>
    <row r="118" ht="15.75" customHeight="1">
      <c r="E118" s="118"/>
    </row>
    <row r="119" ht="15.75" customHeight="1">
      <c r="E119" s="118"/>
    </row>
    <row r="120" ht="15.75" customHeight="1">
      <c r="E120" s="118"/>
    </row>
    <row r="121" ht="15.75" customHeight="1">
      <c r="E121" s="118"/>
    </row>
    <row r="122" ht="15.75" customHeight="1">
      <c r="E122" s="118"/>
    </row>
    <row r="123" ht="15.75" customHeight="1">
      <c r="E123" s="118"/>
    </row>
    <row r="124" ht="15.75" customHeight="1">
      <c r="E124" s="118"/>
    </row>
    <row r="125" ht="15.75" customHeight="1">
      <c r="E125" s="118"/>
    </row>
    <row r="126" ht="15.75" customHeight="1">
      <c r="E126" s="118"/>
    </row>
    <row r="127" ht="15.75" customHeight="1">
      <c r="E127" s="118"/>
    </row>
    <row r="128" ht="15.75" customHeight="1">
      <c r="E128" s="118"/>
    </row>
    <row r="129" ht="15.75" customHeight="1">
      <c r="E129" s="118"/>
    </row>
    <row r="130" ht="15.75" customHeight="1">
      <c r="E130" s="118"/>
    </row>
    <row r="131" ht="15.75" customHeight="1">
      <c r="E131" s="118"/>
    </row>
    <row r="132" ht="15.75" customHeight="1">
      <c r="E132" s="118"/>
    </row>
    <row r="133" ht="15.75" customHeight="1">
      <c r="E133" s="118"/>
    </row>
    <row r="134" ht="15.75" customHeight="1">
      <c r="E134" s="118"/>
    </row>
    <row r="135" ht="15.75" customHeight="1">
      <c r="E135" s="118"/>
    </row>
    <row r="136" ht="15.75" customHeight="1">
      <c r="E136" s="118"/>
    </row>
    <row r="137" ht="15.75" customHeight="1">
      <c r="E137" s="118"/>
    </row>
    <row r="138" ht="15.75" customHeight="1">
      <c r="E138" s="118"/>
    </row>
    <row r="139" ht="15.75" customHeight="1">
      <c r="E139" s="118"/>
    </row>
    <row r="140" ht="15.75" customHeight="1">
      <c r="E140" s="118"/>
    </row>
    <row r="141" ht="15.75" customHeight="1">
      <c r="E141" s="118"/>
    </row>
    <row r="142" ht="15.75" customHeight="1">
      <c r="E142" s="118"/>
    </row>
    <row r="143" ht="15.75" customHeight="1">
      <c r="E143" s="118"/>
    </row>
    <row r="144" ht="15.75" customHeight="1">
      <c r="E144" s="118"/>
    </row>
    <row r="145" ht="15.75" customHeight="1">
      <c r="E145" s="118"/>
    </row>
    <row r="146" ht="15.75" customHeight="1">
      <c r="E146" s="118"/>
    </row>
    <row r="147" ht="15.75" customHeight="1">
      <c r="E147" s="118"/>
    </row>
    <row r="148" ht="15.75" customHeight="1">
      <c r="E148" s="118"/>
    </row>
    <row r="149" ht="15.75" customHeight="1">
      <c r="E149" s="118"/>
    </row>
    <row r="150" ht="15.75" customHeight="1">
      <c r="E150" s="118"/>
    </row>
    <row r="151" ht="15.75" customHeight="1">
      <c r="E151" s="118"/>
    </row>
    <row r="152" ht="15.75" customHeight="1">
      <c r="E152" s="118"/>
    </row>
    <row r="153" ht="15.75" customHeight="1">
      <c r="E153" s="118"/>
    </row>
    <row r="154" ht="15.75" customHeight="1">
      <c r="E154" s="118"/>
    </row>
    <row r="155" ht="15.75" customHeight="1">
      <c r="E155" s="118"/>
    </row>
    <row r="156" ht="15.75" customHeight="1">
      <c r="E156" s="118"/>
    </row>
    <row r="157" ht="15.75" customHeight="1">
      <c r="E157" s="118"/>
    </row>
    <row r="158" ht="15.75" customHeight="1">
      <c r="E158" s="118"/>
    </row>
    <row r="159" ht="15.75" customHeight="1">
      <c r="E159" s="118"/>
    </row>
    <row r="160" ht="15.75" customHeight="1">
      <c r="E160" s="118"/>
    </row>
    <row r="161" ht="15.75" customHeight="1">
      <c r="E161" s="118"/>
    </row>
    <row r="162" ht="15.75" customHeight="1">
      <c r="E162" s="118"/>
    </row>
    <row r="163" ht="15.75" customHeight="1">
      <c r="E163" s="118"/>
    </row>
    <row r="164" ht="15.75" customHeight="1">
      <c r="E164" s="118"/>
    </row>
    <row r="165" ht="15.75" customHeight="1">
      <c r="E165" s="118"/>
    </row>
    <row r="166" ht="15.75" customHeight="1">
      <c r="E166" s="118"/>
    </row>
    <row r="167" ht="15.75" customHeight="1">
      <c r="E167" s="118"/>
    </row>
    <row r="168" ht="15.75" customHeight="1">
      <c r="E168" s="118"/>
    </row>
    <row r="169" ht="15.75" customHeight="1">
      <c r="E169" s="118"/>
    </row>
    <row r="170" ht="15.75" customHeight="1">
      <c r="E170" s="118"/>
    </row>
    <row r="171" ht="15.75" customHeight="1">
      <c r="E171" s="118"/>
    </row>
    <row r="172" ht="15.75" customHeight="1">
      <c r="E172" s="118"/>
    </row>
    <row r="173" ht="15.75" customHeight="1">
      <c r="E173" s="118"/>
    </row>
    <row r="174" ht="15.75" customHeight="1">
      <c r="E174" s="118"/>
    </row>
    <row r="175" ht="15.75" customHeight="1">
      <c r="E175" s="118"/>
    </row>
    <row r="176" ht="15.75" customHeight="1">
      <c r="E176" s="118"/>
    </row>
    <row r="177" ht="15.75" customHeight="1">
      <c r="E177" s="118"/>
    </row>
    <row r="178" ht="15.75" customHeight="1">
      <c r="E178" s="118"/>
    </row>
    <row r="179" ht="15.75" customHeight="1">
      <c r="E179" s="118"/>
    </row>
    <row r="180" ht="15.75" customHeight="1">
      <c r="E180" s="118"/>
    </row>
    <row r="181" ht="15.75" customHeight="1">
      <c r="E181" s="118"/>
    </row>
    <row r="182" ht="15.75" customHeight="1">
      <c r="E182" s="118"/>
    </row>
    <row r="183" ht="15.75" customHeight="1">
      <c r="E183" s="118"/>
    </row>
    <row r="184" ht="15.75" customHeight="1">
      <c r="E184" s="118"/>
    </row>
    <row r="185" ht="15.75" customHeight="1">
      <c r="E185" s="118"/>
    </row>
    <row r="186" ht="15.75" customHeight="1">
      <c r="E186" s="118"/>
    </row>
    <row r="187" ht="15.75" customHeight="1">
      <c r="E187" s="118"/>
    </row>
    <row r="188" ht="15.75" customHeight="1">
      <c r="E188" s="118"/>
    </row>
    <row r="189" ht="15.75" customHeight="1">
      <c r="E189" s="118"/>
    </row>
    <row r="190" ht="15.75" customHeight="1">
      <c r="E190" s="118"/>
    </row>
    <row r="191" ht="15.75" customHeight="1">
      <c r="E191" s="118"/>
    </row>
    <row r="192" ht="15.75" customHeight="1">
      <c r="E192" s="118"/>
    </row>
    <row r="193" ht="15.75" customHeight="1">
      <c r="E193" s="118"/>
    </row>
    <row r="194" ht="15.75" customHeight="1">
      <c r="E194" s="118"/>
    </row>
    <row r="195" ht="15.75" customHeight="1">
      <c r="E195" s="118"/>
    </row>
    <row r="196" ht="15.75" customHeight="1">
      <c r="E196" s="118"/>
    </row>
    <row r="197" ht="15.75" customHeight="1">
      <c r="E197" s="118"/>
    </row>
    <row r="198" ht="15.75" customHeight="1">
      <c r="E198" s="118"/>
    </row>
    <row r="199" ht="15.75" customHeight="1">
      <c r="E199" s="118"/>
    </row>
    <row r="200" ht="15.75" customHeight="1">
      <c r="E200" s="118"/>
    </row>
    <row r="201" ht="15.75" customHeight="1">
      <c r="E201" s="118"/>
    </row>
    <row r="202" ht="15.75" customHeight="1">
      <c r="E202" s="118"/>
    </row>
    <row r="203" ht="15.75" customHeight="1">
      <c r="E203" s="118"/>
    </row>
    <row r="204" ht="15.75" customHeight="1">
      <c r="E204" s="118"/>
    </row>
    <row r="205" ht="15.75" customHeight="1">
      <c r="E205" s="118"/>
    </row>
    <row r="206" ht="15.75" customHeight="1">
      <c r="E206" s="118"/>
    </row>
    <row r="207" ht="15.75" customHeight="1">
      <c r="E207" s="118"/>
    </row>
    <row r="208" ht="15.75" customHeight="1">
      <c r="E208" s="118"/>
    </row>
    <row r="209" ht="15.75" customHeight="1">
      <c r="E209" s="118"/>
    </row>
    <row r="210" ht="15.75" customHeight="1">
      <c r="E210" s="118"/>
    </row>
    <row r="211" ht="15.75" customHeight="1">
      <c r="E211" s="118"/>
    </row>
    <row r="212" ht="15.75" customHeight="1">
      <c r="E212" s="118"/>
    </row>
    <row r="213" ht="15.75" customHeight="1">
      <c r="E213" s="118"/>
    </row>
    <row r="214" ht="15.75" customHeight="1">
      <c r="E214" s="118"/>
    </row>
    <row r="215" ht="15.75" customHeight="1">
      <c r="E215" s="118"/>
    </row>
    <row r="216" ht="15.75" customHeight="1">
      <c r="E216" s="118"/>
    </row>
    <row r="217" ht="15.75" customHeight="1">
      <c r="E217" s="118"/>
    </row>
    <row r="218" ht="15.75" customHeight="1">
      <c r="E218" s="118"/>
    </row>
    <row r="219" ht="15.75" customHeight="1">
      <c r="E219" s="118"/>
    </row>
    <row r="220" ht="15.75" customHeight="1">
      <c r="E220" s="118"/>
    </row>
    <row r="221" ht="15.75" customHeight="1">
      <c r="E221" s="118"/>
    </row>
    <row r="222" ht="15.75" customHeight="1">
      <c r="E222" s="118"/>
    </row>
    <row r="223" ht="15.75" customHeight="1">
      <c r="E223" s="118"/>
    </row>
    <row r="224" ht="15.75" customHeight="1">
      <c r="E224" s="118"/>
    </row>
    <row r="225" ht="15.75" customHeight="1">
      <c r="E225" s="118"/>
    </row>
    <row r="226" ht="15.75" customHeight="1">
      <c r="E226" s="118"/>
    </row>
    <row r="227" ht="15.75" customHeight="1">
      <c r="E227" s="118"/>
    </row>
    <row r="228" ht="15.75" customHeight="1">
      <c r="E228" s="118"/>
    </row>
    <row r="229" ht="15.75" customHeight="1">
      <c r="E229" s="118"/>
    </row>
    <row r="230" ht="15.75" customHeight="1">
      <c r="E230" s="118"/>
    </row>
    <row r="231" ht="15.75" customHeight="1">
      <c r="E231" s="118"/>
    </row>
    <row r="232" ht="15.75" customHeight="1">
      <c r="E232" s="118"/>
    </row>
    <row r="233" ht="15.75" customHeight="1">
      <c r="E233" s="118"/>
    </row>
    <row r="234" ht="15.75" customHeight="1">
      <c r="E234" s="118"/>
    </row>
    <row r="235" ht="15.75" customHeight="1">
      <c r="E235" s="118"/>
    </row>
    <row r="236" ht="15.75" customHeight="1">
      <c r="E236" s="118"/>
    </row>
    <row r="237" ht="15.75" customHeight="1">
      <c r="E237" s="118"/>
    </row>
    <row r="238" ht="15.75" customHeight="1">
      <c r="E238" s="118"/>
    </row>
    <row r="239" ht="15.75" customHeight="1">
      <c r="E239" s="118"/>
    </row>
    <row r="240" ht="15.75" customHeight="1">
      <c r="E240" s="118"/>
    </row>
    <row r="241" ht="15.75" customHeight="1">
      <c r="E241" s="118"/>
    </row>
    <row r="242" ht="15.75" customHeight="1">
      <c r="E242" s="118"/>
    </row>
    <row r="243" ht="15.75" customHeight="1">
      <c r="E243" s="118"/>
    </row>
    <row r="244" ht="15.75" customHeight="1">
      <c r="E244" s="118"/>
    </row>
    <row r="245" ht="15.75" customHeight="1">
      <c r="E245" s="118"/>
    </row>
    <row r="246" ht="15.75" customHeight="1">
      <c r="E246" s="118"/>
    </row>
    <row r="247" ht="15.75" customHeight="1">
      <c r="E247" s="118"/>
    </row>
    <row r="248" ht="15.75" customHeight="1">
      <c r="E248" s="118"/>
    </row>
    <row r="249" ht="15.75" customHeight="1">
      <c r="E249" s="118"/>
    </row>
    <row r="250" ht="15.75" customHeight="1">
      <c r="E250" s="118"/>
    </row>
    <row r="251" ht="15.75" customHeight="1">
      <c r="E251" s="118"/>
    </row>
    <row r="252" ht="15.75" customHeight="1">
      <c r="E252" s="118"/>
    </row>
    <row r="253" ht="15.75" customHeight="1">
      <c r="E253" s="118"/>
    </row>
    <row r="254" ht="15.75" customHeight="1">
      <c r="E254" s="118"/>
    </row>
    <row r="255" ht="15.75" customHeight="1">
      <c r="E255" s="118"/>
    </row>
    <row r="256" ht="15.75" customHeight="1">
      <c r="E256" s="118"/>
    </row>
    <row r="257" ht="15.75" customHeight="1">
      <c r="E257" s="118"/>
    </row>
    <row r="258" ht="15.75" customHeight="1">
      <c r="E258" s="118"/>
    </row>
    <row r="259" ht="15.75" customHeight="1">
      <c r="E259" s="118"/>
    </row>
    <row r="260" ht="15.75" customHeight="1">
      <c r="E260" s="118"/>
    </row>
    <row r="261" ht="15.75" customHeight="1">
      <c r="E261" s="118"/>
    </row>
    <row r="262" ht="15.75" customHeight="1">
      <c r="E262" s="118"/>
    </row>
    <row r="263" ht="15.75" customHeight="1">
      <c r="E263" s="118"/>
    </row>
    <row r="264" ht="15.75" customHeight="1">
      <c r="E264" s="118"/>
    </row>
    <row r="265" ht="15.75" customHeight="1">
      <c r="E265" s="118"/>
    </row>
    <row r="266" ht="15.75" customHeight="1">
      <c r="E266" s="118"/>
    </row>
    <row r="267" ht="15.75" customHeight="1">
      <c r="E267" s="118"/>
    </row>
    <row r="268" ht="15.75" customHeight="1">
      <c r="E268" s="118"/>
    </row>
    <row r="269" ht="15.75" customHeight="1">
      <c r="E269" s="118"/>
    </row>
    <row r="270" ht="15.75" customHeight="1">
      <c r="E270" s="118"/>
    </row>
    <row r="271" ht="15.75" customHeight="1">
      <c r="E271" s="118"/>
    </row>
    <row r="272" ht="15.75" customHeight="1">
      <c r="E272" s="118"/>
    </row>
    <row r="273" ht="15.75" customHeight="1">
      <c r="E273" s="118"/>
    </row>
    <row r="274" ht="15.75" customHeight="1">
      <c r="E274" s="118"/>
    </row>
    <row r="275" ht="15.75" customHeight="1">
      <c r="E275" s="118"/>
    </row>
    <row r="276" ht="15.75" customHeight="1">
      <c r="E276" s="118"/>
    </row>
    <row r="277" ht="15.75" customHeight="1">
      <c r="E277" s="118"/>
    </row>
    <row r="278" ht="15.75" customHeight="1">
      <c r="E278" s="118"/>
    </row>
    <row r="279" ht="15.75" customHeight="1">
      <c r="E279" s="118"/>
    </row>
    <row r="280" ht="15.75" customHeight="1">
      <c r="E280" s="118"/>
    </row>
    <row r="281" ht="15.75" customHeight="1">
      <c r="E281" s="118"/>
    </row>
    <row r="282" ht="15.75" customHeight="1">
      <c r="E282" s="118"/>
    </row>
    <row r="283" ht="15.75" customHeight="1">
      <c r="E283" s="118"/>
    </row>
    <row r="284" ht="15.75" customHeight="1">
      <c r="E284" s="118"/>
    </row>
    <row r="285" ht="15.75" customHeight="1">
      <c r="E285" s="118"/>
    </row>
    <row r="286" ht="15.75" customHeight="1">
      <c r="E286" s="118"/>
    </row>
    <row r="287" ht="15.75" customHeight="1">
      <c r="E287" s="118"/>
    </row>
    <row r="288" ht="15.75" customHeight="1">
      <c r="E288" s="118"/>
    </row>
    <row r="289" ht="15.75" customHeight="1">
      <c r="E289" s="118"/>
    </row>
    <row r="290" ht="15.75" customHeight="1">
      <c r="E290" s="118"/>
    </row>
    <row r="291" ht="15.75" customHeight="1">
      <c r="E291" s="118"/>
    </row>
    <row r="292" ht="15.75" customHeight="1">
      <c r="E292" s="118"/>
    </row>
    <row r="293" ht="15.75" customHeight="1">
      <c r="E293" s="118"/>
    </row>
    <row r="294" ht="15.75" customHeight="1">
      <c r="E294" s="118"/>
    </row>
    <row r="295" ht="15.75" customHeight="1">
      <c r="E295" s="118"/>
    </row>
    <row r="296" ht="15.75" customHeight="1">
      <c r="E296" s="118"/>
    </row>
    <row r="297" ht="15.75" customHeight="1">
      <c r="E297" s="118"/>
    </row>
    <row r="298" ht="15.75" customHeight="1">
      <c r="E298" s="118"/>
    </row>
    <row r="299" ht="15.75" customHeight="1">
      <c r="E299" s="118"/>
    </row>
    <row r="300" ht="15.75" customHeight="1">
      <c r="E300" s="118"/>
    </row>
    <row r="301" ht="15.75" customHeight="1">
      <c r="E301" s="118"/>
    </row>
    <row r="302" ht="15.75" customHeight="1">
      <c r="E302" s="118"/>
    </row>
    <row r="303" ht="15.75" customHeight="1">
      <c r="E303" s="118"/>
    </row>
    <row r="304" ht="15.75" customHeight="1">
      <c r="E304" s="118"/>
    </row>
    <row r="305" ht="15.75" customHeight="1">
      <c r="E305" s="118"/>
    </row>
    <row r="306" ht="15.75" customHeight="1">
      <c r="E306" s="118"/>
    </row>
    <row r="307" ht="15.75" customHeight="1">
      <c r="E307" s="118"/>
    </row>
    <row r="308" ht="15.75" customHeight="1">
      <c r="E308" s="118"/>
    </row>
    <row r="309" ht="15.75" customHeight="1">
      <c r="E309" s="118"/>
    </row>
    <row r="310" ht="15.75" customHeight="1">
      <c r="E310" s="118"/>
    </row>
    <row r="311" ht="15.75" customHeight="1">
      <c r="E311" s="118"/>
    </row>
    <row r="312" ht="15.75" customHeight="1">
      <c r="E312" s="118"/>
    </row>
    <row r="313" ht="15.75" customHeight="1">
      <c r="E313" s="118"/>
    </row>
    <row r="314" ht="15.75" customHeight="1">
      <c r="E314" s="118"/>
    </row>
    <row r="315" ht="15.75" customHeight="1">
      <c r="E315" s="118"/>
    </row>
    <row r="316" ht="15.75" customHeight="1">
      <c r="E316" s="118"/>
    </row>
    <row r="317" ht="15.75" customHeight="1">
      <c r="E317" s="118"/>
    </row>
    <row r="318" ht="15.75" customHeight="1">
      <c r="E318" s="118"/>
    </row>
    <row r="319" ht="15.75" customHeight="1">
      <c r="E319" s="118"/>
    </row>
    <row r="320" ht="15.75" customHeight="1">
      <c r="E320" s="118"/>
    </row>
    <row r="321" ht="15.75" customHeight="1">
      <c r="E321" s="118"/>
    </row>
    <row r="322" ht="15.75" customHeight="1">
      <c r="E322" s="118"/>
    </row>
    <row r="323" ht="15.75" customHeight="1">
      <c r="E323" s="118"/>
    </row>
    <row r="324" ht="15.75" customHeight="1">
      <c r="E324" s="118"/>
    </row>
    <row r="325" ht="15.75" customHeight="1">
      <c r="E325" s="118"/>
    </row>
    <row r="326" ht="15.75" customHeight="1">
      <c r="E326" s="118"/>
    </row>
    <row r="327" ht="15.75" customHeight="1">
      <c r="E327" s="118"/>
    </row>
    <row r="328" ht="15.75" customHeight="1">
      <c r="E328" s="118"/>
    </row>
    <row r="329" ht="15.75" customHeight="1">
      <c r="E329" s="118"/>
    </row>
    <row r="330" ht="15.75" customHeight="1">
      <c r="E330" s="118"/>
    </row>
    <row r="331" ht="15.75" customHeight="1">
      <c r="E331" s="118"/>
    </row>
    <row r="332" ht="15.75" customHeight="1">
      <c r="E332" s="118"/>
    </row>
    <row r="333" ht="15.75" customHeight="1">
      <c r="E333" s="118"/>
    </row>
    <row r="334" ht="15.75" customHeight="1">
      <c r="E334" s="118"/>
    </row>
    <row r="335" ht="15.75" customHeight="1">
      <c r="E335" s="118"/>
    </row>
    <row r="336" ht="15.75" customHeight="1">
      <c r="E336" s="118"/>
    </row>
    <row r="337" ht="15.75" customHeight="1">
      <c r="E337" s="118"/>
    </row>
    <row r="338" ht="15.75" customHeight="1">
      <c r="E338" s="118"/>
    </row>
    <row r="339" ht="15.75" customHeight="1">
      <c r="E339" s="118"/>
    </row>
    <row r="340" ht="15.75" customHeight="1">
      <c r="E340" s="118"/>
    </row>
    <row r="341" ht="15.75" customHeight="1">
      <c r="E341" s="118"/>
    </row>
    <row r="342" ht="15.75" customHeight="1">
      <c r="E342" s="118"/>
    </row>
    <row r="343" ht="15.75" customHeight="1">
      <c r="E343" s="118"/>
    </row>
    <row r="344" ht="15.75" customHeight="1">
      <c r="E344" s="118"/>
    </row>
    <row r="345" ht="15.75" customHeight="1">
      <c r="E345" s="118"/>
    </row>
    <row r="346" ht="15.75" customHeight="1">
      <c r="E346" s="118"/>
    </row>
    <row r="347" ht="15.75" customHeight="1">
      <c r="E347" s="118"/>
    </row>
    <row r="348" ht="15.75" customHeight="1">
      <c r="E348" s="118"/>
    </row>
    <row r="349" ht="15.75" customHeight="1">
      <c r="E349" s="118"/>
    </row>
    <row r="350" ht="15.75" customHeight="1">
      <c r="E350" s="118"/>
    </row>
    <row r="351" ht="15.75" customHeight="1">
      <c r="E351" s="118"/>
    </row>
    <row r="352" ht="15.75" customHeight="1">
      <c r="E352" s="118"/>
    </row>
    <row r="353" ht="15.75" customHeight="1">
      <c r="E353" s="118"/>
    </row>
    <row r="354" ht="15.75" customHeight="1">
      <c r="E354" s="118"/>
    </row>
    <row r="355" ht="15.75" customHeight="1">
      <c r="E355" s="118"/>
    </row>
    <row r="356" ht="15.75" customHeight="1">
      <c r="E356" s="118"/>
    </row>
    <row r="357" ht="15.75" customHeight="1">
      <c r="E357" s="118"/>
    </row>
    <row r="358" ht="15.75" customHeight="1">
      <c r="E358" s="118"/>
    </row>
    <row r="359" ht="15.75" customHeight="1">
      <c r="E359" s="118"/>
    </row>
    <row r="360" ht="15.75" customHeight="1">
      <c r="E360" s="118"/>
    </row>
    <row r="361" ht="15.75" customHeight="1">
      <c r="E361" s="118"/>
    </row>
    <row r="362" ht="15.75" customHeight="1">
      <c r="E362" s="118"/>
    </row>
    <row r="363" ht="15.75" customHeight="1">
      <c r="E363" s="118"/>
    </row>
    <row r="364" ht="15.75" customHeight="1">
      <c r="E364" s="118"/>
    </row>
    <row r="365" ht="15.75" customHeight="1">
      <c r="E365" s="118"/>
    </row>
    <row r="366" ht="15.75" customHeight="1">
      <c r="E366" s="118"/>
    </row>
    <row r="367" ht="15.75" customHeight="1">
      <c r="E367" s="118"/>
    </row>
    <row r="368" ht="15.75" customHeight="1">
      <c r="E368" s="118"/>
    </row>
    <row r="369" ht="15.75" customHeight="1">
      <c r="E369" s="118"/>
    </row>
    <row r="370" ht="15.75" customHeight="1">
      <c r="E370" s="118"/>
    </row>
    <row r="371" ht="15.75" customHeight="1">
      <c r="E371" s="118"/>
    </row>
    <row r="372" ht="15.75" customHeight="1">
      <c r="E372" s="118"/>
    </row>
    <row r="373" ht="15.75" customHeight="1">
      <c r="E373" s="118"/>
    </row>
    <row r="374" ht="15.75" customHeight="1">
      <c r="E374" s="118"/>
    </row>
    <row r="375" ht="15.75" customHeight="1">
      <c r="E375" s="118"/>
    </row>
    <row r="376" ht="15.75" customHeight="1">
      <c r="E376" s="118"/>
    </row>
    <row r="377" ht="15.75" customHeight="1">
      <c r="E377" s="118"/>
    </row>
    <row r="378" ht="15.75" customHeight="1">
      <c r="E378" s="118"/>
    </row>
    <row r="379" ht="15.75" customHeight="1">
      <c r="E379" s="118"/>
    </row>
    <row r="380" ht="15.75" customHeight="1">
      <c r="E380" s="118"/>
    </row>
    <row r="381" ht="15.75" customHeight="1">
      <c r="E381" s="118"/>
    </row>
    <row r="382" ht="15.75" customHeight="1">
      <c r="E382" s="118"/>
    </row>
    <row r="383" ht="15.75" customHeight="1">
      <c r="E383" s="118"/>
    </row>
    <row r="384" ht="15.75" customHeight="1">
      <c r="E384" s="118"/>
    </row>
    <row r="385" ht="15.75" customHeight="1">
      <c r="E385" s="118"/>
    </row>
    <row r="386" ht="15.75" customHeight="1">
      <c r="E386" s="118"/>
    </row>
    <row r="387" ht="15.75" customHeight="1">
      <c r="E387" s="118"/>
    </row>
    <row r="388" ht="15.75" customHeight="1">
      <c r="E388" s="118"/>
    </row>
    <row r="389" ht="15.75" customHeight="1">
      <c r="E389" s="118"/>
    </row>
    <row r="390" ht="15.75" customHeight="1">
      <c r="E390" s="118"/>
    </row>
    <row r="391" ht="15.75" customHeight="1">
      <c r="E391" s="118"/>
    </row>
    <row r="392" ht="15.75" customHeight="1">
      <c r="E392" s="118"/>
    </row>
    <row r="393" ht="15.75" customHeight="1">
      <c r="E393" s="118"/>
    </row>
    <row r="394" ht="15.75" customHeight="1">
      <c r="E394" s="118"/>
    </row>
    <row r="395" ht="15.75" customHeight="1">
      <c r="E395" s="118"/>
    </row>
    <row r="396" ht="15.75" customHeight="1">
      <c r="E396" s="118"/>
    </row>
    <row r="397" ht="15.75" customHeight="1">
      <c r="E397" s="118"/>
    </row>
    <row r="398" ht="15.75" customHeight="1">
      <c r="E398" s="118"/>
    </row>
    <row r="399" ht="15.75" customHeight="1">
      <c r="E399" s="118"/>
    </row>
    <row r="400" ht="15.75" customHeight="1">
      <c r="E400" s="118"/>
    </row>
    <row r="401" ht="15.75" customHeight="1">
      <c r="E401" s="118"/>
    </row>
    <row r="402" ht="15.75" customHeight="1">
      <c r="E402" s="118"/>
    </row>
    <row r="403" ht="15.75" customHeight="1">
      <c r="E403" s="118"/>
    </row>
    <row r="404" ht="15.75" customHeight="1">
      <c r="E404" s="118"/>
    </row>
    <row r="405" ht="15.75" customHeight="1">
      <c r="E405" s="118"/>
    </row>
    <row r="406" ht="15.75" customHeight="1">
      <c r="E406" s="118"/>
    </row>
    <row r="407" ht="15.75" customHeight="1">
      <c r="E407" s="118"/>
    </row>
    <row r="408" ht="15.75" customHeight="1">
      <c r="E408" s="118"/>
    </row>
    <row r="409" ht="15.75" customHeight="1">
      <c r="E409" s="118"/>
    </row>
    <row r="410" ht="15.75" customHeight="1">
      <c r="E410" s="118"/>
    </row>
    <row r="411" ht="15.75" customHeight="1">
      <c r="E411" s="118"/>
    </row>
    <row r="412" ht="15.75" customHeight="1">
      <c r="E412" s="118"/>
    </row>
    <row r="413" ht="15.75" customHeight="1">
      <c r="E413" s="118"/>
    </row>
    <row r="414" ht="15.75" customHeight="1">
      <c r="E414" s="118"/>
    </row>
    <row r="415" ht="15.75" customHeight="1">
      <c r="E415" s="118"/>
    </row>
    <row r="416" ht="15.75" customHeight="1">
      <c r="E416" s="118"/>
    </row>
    <row r="417" ht="15.75" customHeight="1">
      <c r="E417" s="118"/>
    </row>
    <row r="418" ht="15.75" customHeight="1">
      <c r="E418" s="118"/>
    </row>
    <row r="419" ht="15.75" customHeight="1">
      <c r="E419" s="118"/>
    </row>
    <row r="420" ht="15.75" customHeight="1">
      <c r="E420" s="118"/>
    </row>
    <row r="421" ht="15.75" customHeight="1">
      <c r="E421" s="118"/>
    </row>
    <row r="422" ht="15.75" customHeight="1">
      <c r="E422" s="118"/>
    </row>
    <row r="423" ht="15.75" customHeight="1">
      <c r="E423" s="118"/>
    </row>
    <row r="424" ht="15.75" customHeight="1">
      <c r="E424" s="118"/>
    </row>
    <row r="425" ht="15.75" customHeight="1">
      <c r="E425" s="118"/>
    </row>
    <row r="426" ht="15.75" customHeight="1">
      <c r="E426" s="118"/>
    </row>
    <row r="427" ht="15.75" customHeight="1">
      <c r="E427" s="118"/>
    </row>
    <row r="428" ht="15.75" customHeight="1">
      <c r="E428" s="118"/>
    </row>
    <row r="429" ht="15.75" customHeight="1">
      <c r="E429" s="118"/>
    </row>
    <row r="430" ht="15.75" customHeight="1">
      <c r="E430" s="118"/>
    </row>
    <row r="431" ht="15.75" customHeight="1">
      <c r="E431" s="118"/>
    </row>
    <row r="432" ht="15.75" customHeight="1">
      <c r="E432" s="118"/>
    </row>
    <row r="433" ht="15.75" customHeight="1">
      <c r="E433" s="118"/>
    </row>
    <row r="434" ht="15.75" customHeight="1">
      <c r="E434" s="118"/>
    </row>
    <row r="435" ht="15.75" customHeight="1">
      <c r="E435" s="118"/>
    </row>
    <row r="436" ht="15.75" customHeight="1">
      <c r="E436" s="118"/>
    </row>
    <row r="437" ht="15.75" customHeight="1">
      <c r="E437" s="118"/>
    </row>
    <row r="438" ht="15.75" customHeight="1">
      <c r="E438" s="118"/>
    </row>
    <row r="439" ht="15.75" customHeight="1">
      <c r="E439" s="118"/>
    </row>
    <row r="440" ht="15.75" customHeight="1">
      <c r="E440" s="118"/>
    </row>
    <row r="441" ht="15.75" customHeight="1">
      <c r="E441" s="118"/>
    </row>
    <row r="442" ht="15.75" customHeight="1">
      <c r="E442" s="118"/>
    </row>
    <row r="443" ht="15.75" customHeight="1">
      <c r="E443" s="118"/>
    </row>
    <row r="444" ht="15.75" customHeight="1">
      <c r="E444" s="118"/>
    </row>
    <row r="445" ht="15.75" customHeight="1">
      <c r="E445" s="118"/>
    </row>
    <row r="446" ht="15.75" customHeight="1">
      <c r="E446" s="118"/>
    </row>
    <row r="447" ht="15.75" customHeight="1">
      <c r="E447" s="118"/>
    </row>
    <row r="448" ht="15.75" customHeight="1">
      <c r="E448" s="118"/>
    </row>
    <row r="449" ht="15.75" customHeight="1">
      <c r="E449" s="118"/>
    </row>
    <row r="450" ht="15.75" customHeight="1">
      <c r="E450" s="118"/>
    </row>
    <row r="451" ht="15.75" customHeight="1">
      <c r="E451" s="118"/>
    </row>
    <row r="452" ht="15.75" customHeight="1">
      <c r="E452" s="118"/>
    </row>
    <row r="453" ht="15.75" customHeight="1">
      <c r="E453" s="118"/>
    </row>
    <row r="454" ht="15.75" customHeight="1">
      <c r="E454" s="118"/>
    </row>
    <row r="455" ht="15.75" customHeight="1">
      <c r="E455" s="118"/>
    </row>
    <row r="456" ht="15.75" customHeight="1">
      <c r="E456" s="118"/>
    </row>
    <row r="457" ht="15.75" customHeight="1">
      <c r="E457" s="118"/>
    </row>
    <row r="458" ht="15.75" customHeight="1">
      <c r="E458" s="118"/>
    </row>
    <row r="459" ht="15.75" customHeight="1">
      <c r="E459" s="118"/>
    </row>
    <row r="460" ht="15.75" customHeight="1">
      <c r="E460" s="118"/>
    </row>
    <row r="461" ht="15.75" customHeight="1">
      <c r="E461" s="118"/>
    </row>
    <row r="462" ht="15.75" customHeight="1">
      <c r="E462" s="118"/>
    </row>
    <row r="463" ht="15.75" customHeight="1">
      <c r="E463" s="118"/>
    </row>
    <row r="464" ht="15.75" customHeight="1">
      <c r="E464" s="118"/>
    </row>
    <row r="465" ht="15.75" customHeight="1">
      <c r="E465" s="118"/>
    </row>
    <row r="466" ht="15.75" customHeight="1">
      <c r="E466" s="118"/>
    </row>
    <row r="467" ht="15.75" customHeight="1">
      <c r="E467" s="118"/>
    </row>
    <row r="468" ht="15.75" customHeight="1">
      <c r="E468" s="118"/>
    </row>
    <row r="469" ht="15.75" customHeight="1">
      <c r="E469" s="118"/>
    </row>
    <row r="470" ht="15.75" customHeight="1">
      <c r="E470" s="118"/>
    </row>
    <row r="471" ht="15.75" customHeight="1">
      <c r="E471" s="118"/>
    </row>
    <row r="472" ht="15.75" customHeight="1">
      <c r="E472" s="118"/>
    </row>
    <row r="473" ht="15.75" customHeight="1">
      <c r="E473" s="118"/>
    </row>
    <row r="474" ht="15.75" customHeight="1">
      <c r="E474" s="118"/>
    </row>
    <row r="475" ht="15.75" customHeight="1">
      <c r="E475" s="118"/>
    </row>
    <row r="476" ht="15.75" customHeight="1">
      <c r="E476" s="118"/>
    </row>
    <row r="477" ht="15.75" customHeight="1">
      <c r="E477" s="118"/>
    </row>
    <row r="478" ht="15.75" customHeight="1">
      <c r="E478" s="118"/>
    </row>
    <row r="479" ht="15.75" customHeight="1">
      <c r="E479" s="118"/>
    </row>
    <row r="480" ht="15.75" customHeight="1">
      <c r="E480" s="118"/>
    </row>
    <row r="481" ht="15.75" customHeight="1">
      <c r="E481" s="118"/>
    </row>
    <row r="482" ht="15.75" customHeight="1">
      <c r="E482" s="118"/>
    </row>
    <row r="483" ht="15.75" customHeight="1">
      <c r="E483" s="118"/>
    </row>
    <row r="484" ht="15.75" customHeight="1">
      <c r="E484" s="118"/>
    </row>
    <row r="485" ht="15.75" customHeight="1">
      <c r="E485" s="118"/>
    </row>
    <row r="486" ht="15.75" customHeight="1">
      <c r="E486" s="118"/>
    </row>
    <row r="487" ht="15.75" customHeight="1">
      <c r="E487" s="118"/>
    </row>
    <row r="488" ht="15.75" customHeight="1">
      <c r="E488" s="118"/>
    </row>
    <row r="489" ht="15.75" customHeight="1">
      <c r="E489" s="118"/>
    </row>
    <row r="490" ht="15.75" customHeight="1">
      <c r="E490" s="118"/>
    </row>
    <row r="491" ht="15.75" customHeight="1">
      <c r="E491" s="118"/>
    </row>
    <row r="492" ht="15.75" customHeight="1">
      <c r="E492" s="118"/>
    </row>
    <row r="493" ht="15.75" customHeight="1">
      <c r="E493" s="118"/>
    </row>
    <row r="494" ht="15.75" customHeight="1">
      <c r="E494" s="118"/>
    </row>
    <row r="495" ht="15.75" customHeight="1">
      <c r="E495" s="118"/>
    </row>
    <row r="496" ht="15.75" customHeight="1">
      <c r="E496" s="118"/>
    </row>
    <row r="497" ht="15.75" customHeight="1">
      <c r="E497" s="118"/>
    </row>
    <row r="498" ht="15.75" customHeight="1">
      <c r="E498" s="118"/>
    </row>
    <row r="499" ht="15.75" customHeight="1">
      <c r="E499" s="118"/>
    </row>
    <row r="500" ht="15.75" customHeight="1">
      <c r="E500" s="118"/>
    </row>
    <row r="501" ht="15.75" customHeight="1">
      <c r="E501" s="118"/>
    </row>
    <row r="502" ht="15.75" customHeight="1">
      <c r="E502" s="118"/>
    </row>
    <row r="503" ht="15.75" customHeight="1">
      <c r="E503" s="118"/>
    </row>
    <row r="504" ht="15.75" customHeight="1">
      <c r="E504" s="118"/>
    </row>
    <row r="505" ht="15.75" customHeight="1">
      <c r="E505" s="118"/>
    </row>
    <row r="506" ht="15.75" customHeight="1">
      <c r="E506" s="118"/>
    </row>
    <row r="507" ht="15.75" customHeight="1">
      <c r="E507" s="118"/>
    </row>
    <row r="508" ht="15.75" customHeight="1">
      <c r="E508" s="118"/>
    </row>
    <row r="509" ht="15.75" customHeight="1">
      <c r="E509" s="118"/>
    </row>
    <row r="510" ht="15.75" customHeight="1">
      <c r="E510" s="118"/>
    </row>
    <row r="511" ht="15.75" customHeight="1">
      <c r="E511" s="118"/>
    </row>
    <row r="512" ht="15.75" customHeight="1">
      <c r="E512" s="118"/>
    </row>
    <row r="513" ht="15.75" customHeight="1">
      <c r="E513" s="118"/>
    </row>
    <row r="514" ht="15.75" customHeight="1">
      <c r="E514" s="118"/>
    </row>
    <row r="515" ht="15.75" customHeight="1">
      <c r="E515" s="118"/>
    </row>
    <row r="516" ht="15.75" customHeight="1">
      <c r="E516" s="118"/>
    </row>
    <row r="517" ht="15.75" customHeight="1">
      <c r="E517" s="118"/>
    </row>
    <row r="518" ht="15.75" customHeight="1">
      <c r="E518" s="118"/>
    </row>
    <row r="519" ht="15.75" customHeight="1">
      <c r="E519" s="118"/>
    </row>
    <row r="520" ht="15.75" customHeight="1">
      <c r="E520" s="118"/>
    </row>
    <row r="521" ht="15.75" customHeight="1">
      <c r="E521" s="118"/>
    </row>
    <row r="522" ht="15.75" customHeight="1">
      <c r="E522" s="118"/>
    </row>
    <row r="523" ht="15.75" customHeight="1">
      <c r="E523" s="118"/>
    </row>
    <row r="524" ht="15.75" customHeight="1">
      <c r="E524" s="118"/>
    </row>
    <row r="525" ht="15.75" customHeight="1">
      <c r="E525" s="118"/>
    </row>
    <row r="526" ht="15.75" customHeight="1">
      <c r="E526" s="118"/>
    </row>
    <row r="527" ht="15.75" customHeight="1">
      <c r="E527" s="118"/>
    </row>
    <row r="528" ht="15.75" customHeight="1">
      <c r="E528" s="118"/>
    </row>
    <row r="529" ht="15.75" customHeight="1">
      <c r="E529" s="118"/>
    </row>
    <row r="530" ht="15.75" customHeight="1">
      <c r="E530" s="118"/>
    </row>
    <row r="531" ht="15.75" customHeight="1">
      <c r="E531" s="118"/>
    </row>
    <row r="532" ht="15.75" customHeight="1">
      <c r="E532" s="118"/>
    </row>
    <row r="533" ht="15.75" customHeight="1">
      <c r="E533" s="118"/>
    </row>
    <row r="534" ht="15.75" customHeight="1">
      <c r="E534" s="118"/>
    </row>
    <row r="535" ht="15.75" customHeight="1">
      <c r="E535" s="118"/>
    </row>
    <row r="536" ht="15.75" customHeight="1">
      <c r="E536" s="118"/>
    </row>
    <row r="537" ht="15.75" customHeight="1">
      <c r="E537" s="118"/>
    </row>
    <row r="538" ht="15.75" customHeight="1">
      <c r="E538" s="118"/>
    </row>
    <row r="539" ht="15.75" customHeight="1">
      <c r="E539" s="118"/>
    </row>
    <row r="540" ht="15.75" customHeight="1">
      <c r="E540" s="118"/>
    </row>
    <row r="541" ht="15.75" customHeight="1">
      <c r="E541" s="118"/>
    </row>
    <row r="542" ht="15.75" customHeight="1">
      <c r="E542" s="118"/>
    </row>
    <row r="543" ht="15.75" customHeight="1">
      <c r="E543" s="118"/>
    </row>
    <row r="544" ht="15.75" customHeight="1">
      <c r="E544" s="118"/>
    </row>
    <row r="545" ht="15.75" customHeight="1">
      <c r="E545" s="118"/>
    </row>
    <row r="546" ht="15.75" customHeight="1">
      <c r="E546" s="118"/>
    </row>
    <row r="547" ht="15.75" customHeight="1">
      <c r="E547" s="118"/>
    </row>
    <row r="548" ht="15.75" customHeight="1">
      <c r="E548" s="118"/>
    </row>
    <row r="549" ht="15.75" customHeight="1">
      <c r="E549" s="118"/>
    </row>
    <row r="550" ht="15.75" customHeight="1">
      <c r="E550" s="118"/>
    </row>
    <row r="551" ht="15.75" customHeight="1">
      <c r="E551" s="118"/>
    </row>
    <row r="552" ht="15.75" customHeight="1">
      <c r="E552" s="118"/>
    </row>
    <row r="553" ht="15.75" customHeight="1">
      <c r="E553" s="118"/>
    </row>
    <row r="554" ht="15.75" customHeight="1">
      <c r="E554" s="118"/>
    </row>
    <row r="555" ht="15.75" customHeight="1">
      <c r="E555" s="118"/>
    </row>
    <row r="556" ht="15.75" customHeight="1">
      <c r="E556" s="118"/>
    </row>
    <row r="557" ht="15.75" customHeight="1">
      <c r="E557" s="118"/>
    </row>
    <row r="558" ht="15.75" customHeight="1">
      <c r="E558" s="118"/>
    </row>
    <row r="559" ht="15.75" customHeight="1">
      <c r="E559" s="118"/>
    </row>
    <row r="560" ht="15.75" customHeight="1">
      <c r="E560" s="118"/>
    </row>
    <row r="561" ht="15.75" customHeight="1">
      <c r="E561" s="118"/>
    </row>
    <row r="562" ht="15.75" customHeight="1">
      <c r="E562" s="118"/>
    </row>
    <row r="563" ht="15.75" customHeight="1">
      <c r="E563" s="118"/>
    </row>
    <row r="564" ht="15.75" customHeight="1">
      <c r="E564" s="118"/>
    </row>
    <row r="565" ht="15.75" customHeight="1">
      <c r="E565" s="118"/>
    </row>
    <row r="566" ht="15.75" customHeight="1">
      <c r="E566" s="118"/>
    </row>
    <row r="567" ht="15.75" customHeight="1">
      <c r="E567" s="118"/>
    </row>
    <row r="568" ht="15.75" customHeight="1">
      <c r="E568" s="118"/>
    </row>
    <row r="569" ht="15.75" customHeight="1">
      <c r="E569" s="118"/>
    </row>
    <row r="570" ht="15.75" customHeight="1">
      <c r="E570" s="118"/>
    </row>
    <row r="571" ht="15.75" customHeight="1">
      <c r="E571" s="118"/>
    </row>
    <row r="572" ht="15.75" customHeight="1">
      <c r="E572" s="118"/>
    </row>
    <row r="573" ht="15.75" customHeight="1">
      <c r="E573" s="118"/>
    </row>
    <row r="574" ht="15.75" customHeight="1">
      <c r="E574" s="118"/>
    </row>
    <row r="575" ht="15.75" customHeight="1">
      <c r="E575" s="118"/>
    </row>
    <row r="576" ht="15.75" customHeight="1">
      <c r="E576" s="118"/>
    </row>
    <row r="577" ht="15.75" customHeight="1">
      <c r="E577" s="118"/>
    </row>
    <row r="578" ht="15.75" customHeight="1">
      <c r="E578" s="118"/>
    </row>
    <row r="579" ht="15.75" customHeight="1">
      <c r="E579" s="118"/>
    </row>
    <row r="580" ht="15.75" customHeight="1">
      <c r="E580" s="118"/>
    </row>
    <row r="581" ht="15.75" customHeight="1">
      <c r="E581" s="118"/>
    </row>
    <row r="582" ht="15.75" customHeight="1">
      <c r="E582" s="118"/>
    </row>
    <row r="583" ht="15.75" customHeight="1">
      <c r="E583" s="118"/>
    </row>
    <row r="584" ht="15.75" customHeight="1">
      <c r="E584" s="118"/>
    </row>
    <row r="585" ht="15.75" customHeight="1">
      <c r="E585" s="118"/>
    </row>
    <row r="586" ht="15.75" customHeight="1">
      <c r="E586" s="118"/>
    </row>
    <row r="587" ht="15.75" customHeight="1">
      <c r="E587" s="118"/>
    </row>
    <row r="588" ht="15.75" customHeight="1">
      <c r="E588" s="118"/>
    </row>
    <row r="589" ht="15.75" customHeight="1">
      <c r="E589" s="118"/>
    </row>
    <row r="590" ht="15.75" customHeight="1">
      <c r="E590" s="118"/>
    </row>
    <row r="591" ht="15.75" customHeight="1">
      <c r="E591" s="118"/>
    </row>
    <row r="592" ht="15.75" customHeight="1">
      <c r="E592" s="118"/>
    </row>
    <row r="593" ht="15.75" customHeight="1">
      <c r="E593" s="118"/>
    </row>
    <row r="594" ht="15.75" customHeight="1">
      <c r="E594" s="118"/>
    </row>
    <row r="595" ht="15.75" customHeight="1">
      <c r="E595" s="118"/>
    </row>
    <row r="596" ht="15.75" customHeight="1">
      <c r="E596" s="118"/>
    </row>
    <row r="597" ht="15.75" customHeight="1">
      <c r="E597" s="118"/>
    </row>
    <row r="598" ht="15.75" customHeight="1">
      <c r="E598" s="118"/>
    </row>
    <row r="599" ht="15.75" customHeight="1">
      <c r="E599" s="118"/>
    </row>
    <row r="600" ht="15.75" customHeight="1">
      <c r="E600" s="118"/>
    </row>
    <row r="601" ht="15.75" customHeight="1">
      <c r="E601" s="118"/>
    </row>
    <row r="602" ht="15.75" customHeight="1">
      <c r="E602" s="118"/>
    </row>
    <row r="603" ht="15.75" customHeight="1">
      <c r="E603" s="118"/>
    </row>
    <row r="604" ht="15.75" customHeight="1">
      <c r="E604" s="118"/>
    </row>
    <row r="605" ht="15.75" customHeight="1">
      <c r="E605" s="118"/>
    </row>
    <row r="606" ht="15.75" customHeight="1">
      <c r="E606" s="118"/>
    </row>
    <row r="607" ht="15.75" customHeight="1">
      <c r="E607" s="118"/>
    </row>
    <row r="608" ht="15.75" customHeight="1">
      <c r="E608" s="118"/>
    </row>
    <row r="609" ht="15.75" customHeight="1">
      <c r="E609" s="118"/>
    </row>
    <row r="610" ht="15.75" customHeight="1">
      <c r="E610" s="118"/>
    </row>
    <row r="611" ht="15.75" customHeight="1">
      <c r="E611" s="118"/>
    </row>
    <row r="612" ht="15.75" customHeight="1">
      <c r="E612" s="118"/>
    </row>
    <row r="613" ht="15.75" customHeight="1">
      <c r="E613" s="118"/>
    </row>
    <row r="614" ht="15.75" customHeight="1">
      <c r="E614" s="118"/>
    </row>
    <row r="615" ht="15.75" customHeight="1">
      <c r="E615" s="118"/>
    </row>
    <row r="616" ht="15.75" customHeight="1">
      <c r="E616" s="118"/>
    </row>
    <row r="617" ht="15.75" customHeight="1">
      <c r="E617" s="118"/>
    </row>
    <row r="618" ht="15.75" customHeight="1">
      <c r="E618" s="118"/>
    </row>
    <row r="619" ht="15.75" customHeight="1">
      <c r="E619" s="118"/>
    </row>
    <row r="620" ht="15.75" customHeight="1">
      <c r="E620" s="118"/>
    </row>
    <row r="621" ht="15.75" customHeight="1">
      <c r="E621" s="118"/>
    </row>
    <row r="622" ht="15.75" customHeight="1">
      <c r="E622" s="118"/>
    </row>
    <row r="623" ht="15.75" customHeight="1">
      <c r="E623" s="118"/>
    </row>
    <row r="624" ht="15.75" customHeight="1">
      <c r="E624" s="118"/>
    </row>
    <row r="625" ht="15.75" customHeight="1">
      <c r="E625" s="118"/>
    </row>
    <row r="626" ht="15.75" customHeight="1">
      <c r="E626" s="118"/>
    </row>
    <row r="627" ht="15.75" customHeight="1">
      <c r="E627" s="118"/>
    </row>
    <row r="628" ht="15.75" customHeight="1">
      <c r="E628" s="118"/>
    </row>
    <row r="629" ht="15.75" customHeight="1">
      <c r="E629" s="118"/>
    </row>
    <row r="630" ht="15.75" customHeight="1">
      <c r="E630" s="118"/>
    </row>
    <row r="631" ht="15.75" customHeight="1">
      <c r="E631" s="118"/>
    </row>
    <row r="632" ht="15.75" customHeight="1">
      <c r="E632" s="118"/>
    </row>
    <row r="633" ht="15.75" customHeight="1">
      <c r="E633" s="118"/>
    </row>
    <row r="634" ht="15.75" customHeight="1">
      <c r="E634" s="118"/>
    </row>
    <row r="635" ht="15.75" customHeight="1">
      <c r="E635" s="118"/>
    </row>
    <row r="636" ht="15.75" customHeight="1">
      <c r="E636" s="118"/>
    </row>
    <row r="637" ht="15.75" customHeight="1">
      <c r="E637" s="118"/>
    </row>
    <row r="638" ht="15.75" customHeight="1">
      <c r="E638" s="118"/>
    </row>
    <row r="639" ht="15.75" customHeight="1">
      <c r="E639" s="118"/>
    </row>
    <row r="640" ht="15.75" customHeight="1">
      <c r="E640" s="118"/>
    </row>
    <row r="641" ht="15.75" customHeight="1">
      <c r="E641" s="118"/>
    </row>
    <row r="642" ht="15.75" customHeight="1">
      <c r="E642" s="118"/>
    </row>
    <row r="643" ht="15.75" customHeight="1">
      <c r="E643" s="118"/>
    </row>
    <row r="644" ht="15.75" customHeight="1">
      <c r="E644" s="118"/>
    </row>
    <row r="645" ht="15.75" customHeight="1">
      <c r="E645" s="118"/>
    </row>
    <row r="646" ht="15.75" customHeight="1">
      <c r="E646" s="118"/>
    </row>
    <row r="647" ht="15.75" customHeight="1">
      <c r="E647" s="118"/>
    </row>
    <row r="648" ht="15.75" customHeight="1">
      <c r="E648" s="118"/>
    </row>
    <row r="649" ht="15.75" customHeight="1">
      <c r="E649" s="118"/>
    </row>
    <row r="650" ht="15.75" customHeight="1">
      <c r="E650" s="118"/>
    </row>
    <row r="651" ht="15.75" customHeight="1">
      <c r="E651" s="118"/>
    </row>
    <row r="652" ht="15.75" customHeight="1">
      <c r="E652" s="118"/>
    </row>
    <row r="653" ht="15.75" customHeight="1">
      <c r="E653" s="118"/>
    </row>
    <row r="654" ht="15.75" customHeight="1">
      <c r="E654" s="118"/>
    </row>
    <row r="655" ht="15.75" customHeight="1">
      <c r="E655" s="118"/>
    </row>
    <row r="656" ht="15.75" customHeight="1">
      <c r="E656" s="118"/>
    </row>
    <row r="657" ht="15.75" customHeight="1">
      <c r="E657" s="118"/>
    </row>
    <row r="658" ht="15.75" customHeight="1">
      <c r="E658" s="118"/>
    </row>
    <row r="659" ht="15.75" customHeight="1">
      <c r="E659" s="118"/>
    </row>
    <row r="660" ht="15.75" customHeight="1">
      <c r="E660" s="118"/>
    </row>
    <row r="661" ht="15.75" customHeight="1">
      <c r="E661" s="118"/>
    </row>
    <row r="662" ht="15.75" customHeight="1">
      <c r="E662" s="118"/>
    </row>
    <row r="663" ht="15.75" customHeight="1">
      <c r="E663" s="118"/>
    </row>
    <row r="664" ht="15.75" customHeight="1">
      <c r="E664" s="118"/>
    </row>
    <row r="665" ht="15.75" customHeight="1">
      <c r="E665" s="118"/>
    </row>
    <row r="666" ht="15.75" customHeight="1">
      <c r="E666" s="118"/>
    </row>
    <row r="667" ht="15.75" customHeight="1">
      <c r="E667" s="118"/>
    </row>
    <row r="668" ht="15.75" customHeight="1">
      <c r="E668" s="118"/>
    </row>
    <row r="669" ht="15.75" customHeight="1">
      <c r="E669" s="118"/>
    </row>
    <row r="670" ht="15.75" customHeight="1">
      <c r="E670" s="118"/>
    </row>
    <row r="671" ht="15.75" customHeight="1">
      <c r="E671" s="118"/>
    </row>
    <row r="672" ht="15.75" customHeight="1">
      <c r="E672" s="118"/>
    </row>
    <row r="673" ht="15.75" customHeight="1">
      <c r="E673" s="118"/>
    </row>
    <row r="674" ht="15.75" customHeight="1">
      <c r="E674" s="118"/>
    </row>
    <row r="675" ht="15.75" customHeight="1">
      <c r="E675" s="118"/>
    </row>
    <row r="676" ht="15.75" customHeight="1">
      <c r="E676" s="118"/>
    </row>
    <row r="677" ht="15.75" customHeight="1">
      <c r="E677" s="118"/>
    </row>
    <row r="678" ht="15.75" customHeight="1">
      <c r="E678" s="118"/>
    </row>
    <row r="679" ht="15.75" customHeight="1">
      <c r="E679" s="118"/>
    </row>
    <row r="680" ht="15.75" customHeight="1">
      <c r="E680" s="118"/>
    </row>
    <row r="681" ht="15.75" customHeight="1">
      <c r="E681" s="118"/>
    </row>
    <row r="682" ht="15.75" customHeight="1">
      <c r="E682" s="118"/>
    </row>
    <row r="683" ht="15.75" customHeight="1">
      <c r="E683" s="118"/>
    </row>
    <row r="684" ht="15.75" customHeight="1">
      <c r="E684" s="118"/>
    </row>
    <row r="685" ht="15.75" customHeight="1">
      <c r="E685" s="118"/>
    </row>
    <row r="686" ht="15.75" customHeight="1">
      <c r="E686" s="118"/>
    </row>
    <row r="687" ht="15.75" customHeight="1">
      <c r="E687" s="118"/>
    </row>
    <row r="688" ht="15.75" customHeight="1">
      <c r="E688" s="118"/>
    </row>
    <row r="689" ht="15.75" customHeight="1">
      <c r="E689" s="118"/>
    </row>
    <row r="690" ht="15.75" customHeight="1">
      <c r="E690" s="118"/>
    </row>
    <row r="691" ht="15.75" customHeight="1">
      <c r="E691" s="118"/>
    </row>
    <row r="692" ht="15.75" customHeight="1">
      <c r="E692" s="118"/>
    </row>
    <row r="693" ht="15.75" customHeight="1">
      <c r="E693" s="118"/>
    </row>
    <row r="694" ht="15.75" customHeight="1">
      <c r="E694" s="118"/>
    </row>
    <row r="695" ht="15.75" customHeight="1">
      <c r="E695" s="118"/>
    </row>
    <row r="696" ht="15.75" customHeight="1">
      <c r="E696" s="118"/>
    </row>
    <row r="697" ht="15.75" customHeight="1">
      <c r="E697" s="118"/>
    </row>
    <row r="698" ht="15.75" customHeight="1">
      <c r="E698" s="118"/>
    </row>
    <row r="699" ht="15.75" customHeight="1">
      <c r="E699" s="118"/>
    </row>
    <row r="700" ht="15.75" customHeight="1">
      <c r="E700" s="118"/>
    </row>
    <row r="701" ht="15.75" customHeight="1">
      <c r="E701" s="118"/>
    </row>
    <row r="702" ht="15.75" customHeight="1">
      <c r="E702" s="118"/>
    </row>
    <row r="703" ht="15.75" customHeight="1">
      <c r="E703" s="118"/>
    </row>
    <row r="704" ht="15.75" customHeight="1">
      <c r="E704" s="118"/>
    </row>
    <row r="705" ht="15.75" customHeight="1">
      <c r="E705" s="118"/>
    </row>
    <row r="706" ht="15.75" customHeight="1">
      <c r="E706" s="118"/>
    </row>
    <row r="707" ht="15.75" customHeight="1">
      <c r="E707" s="118"/>
    </row>
    <row r="708" ht="15.75" customHeight="1">
      <c r="E708" s="118"/>
    </row>
    <row r="709" ht="15.75" customHeight="1">
      <c r="E709" s="118"/>
    </row>
    <row r="710" ht="15.75" customHeight="1">
      <c r="E710" s="118"/>
    </row>
    <row r="711" ht="15.75" customHeight="1">
      <c r="E711" s="118"/>
    </row>
    <row r="712" ht="15.75" customHeight="1">
      <c r="E712" s="118"/>
    </row>
    <row r="713" ht="15.75" customHeight="1">
      <c r="E713" s="118"/>
    </row>
    <row r="714" ht="15.75" customHeight="1">
      <c r="E714" s="118"/>
    </row>
    <row r="715" ht="15.75" customHeight="1">
      <c r="E715" s="118"/>
    </row>
    <row r="716" ht="15.75" customHeight="1">
      <c r="E716" s="118"/>
    </row>
    <row r="717" ht="15.75" customHeight="1">
      <c r="E717" s="118"/>
    </row>
    <row r="718" ht="15.75" customHeight="1">
      <c r="E718" s="118"/>
    </row>
    <row r="719" ht="15.75" customHeight="1">
      <c r="E719" s="118"/>
    </row>
    <row r="720" ht="15.75" customHeight="1">
      <c r="E720" s="118"/>
    </row>
    <row r="721" ht="15.75" customHeight="1">
      <c r="E721" s="118"/>
    </row>
    <row r="722" ht="15.75" customHeight="1">
      <c r="E722" s="118"/>
    </row>
    <row r="723" ht="15.75" customHeight="1">
      <c r="E723" s="118"/>
    </row>
    <row r="724" ht="15.75" customHeight="1">
      <c r="E724" s="118"/>
    </row>
    <row r="725" ht="15.75" customHeight="1">
      <c r="E725" s="118"/>
    </row>
    <row r="726" ht="15.75" customHeight="1">
      <c r="E726" s="118"/>
    </row>
    <row r="727" ht="15.75" customHeight="1">
      <c r="E727" s="118"/>
    </row>
    <row r="728" ht="15.75" customHeight="1">
      <c r="E728" s="118"/>
    </row>
    <row r="729" ht="15.75" customHeight="1">
      <c r="E729" s="118"/>
    </row>
    <row r="730" ht="15.75" customHeight="1">
      <c r="E730" s="118"/>
    </row>
    <row r="731" ht="15.75" customHeight="1">
      <c r="E731" s="118"/>
    </row>
    <row r="732" ht="15.75" customHeight="1">
      <c r="E732" s="118"/>
    </row>
    <row r="733" ht="15.75" customHeight="1">
      <c r="E733" s="118"/>
    </row>
    <row r="734" ht="15.75" customHeight="1">
      <c r="E734" s="118"/>
    </row>
    <row r="735" ht="15.75" customHeight="1">
      <c r="E735" s="118"/>
    </row>
    <row r="736" ht="15.75" customHeight="1">
      <c r="E736" s="118"/>
    </row>
    <row r="737" ht="15.75" customHeight="1">
      <c r="E737" s="118"/>
    </row>
    <row r="738" ht="15.75" customHeight="1">
      <c r="E738" s="118"/>
    </row>
    <row r="739" ht="15.75" customHeight="1">
      <c r="E739" s="118"/>
    </row>
    <row r="740" ht="15.75" customHeight="1">
      <c r="E740" s="118"/>
    </row>
    <row r="741" ht="15.75" customHeight="1">
      <c r="E741" s="118"/>
    </row>
    <row r="742" ht="15.75" customHeight="1">
      <c r="E742" s="118"/>
    </row>
    <row r="743" ht="15.75" customHeight="1">
      <c r="E743" s="118"/>
    </row>
    <row r="744" ht="15.75" customHeight="1">
      <c r="E744" s="118"/>
    </row>
    <row r="745" ht="15.75" customHeight="1">
      <c r="E745" s="118"/>
    </row>
    <row r="746" ht="15.75" customHeight="1">
      <c r="E746" s="118"/>
    </row>
    <row r="747" ht="15.75" customHeight="1">
      <c r="E747" s="118"/>
    </row>
    <row r="748" ht="15.75" customHeight="1">
      <c r="E748" s="118"/>
    </row>
    <row r="749" ht="15.75" customHeight="1">
      <c r="E749" s="118"/>
    </row>
    <row r="750" ht="15.75" customHeight="1">
      <c r="E750" s="118"/>
    </row>
    <row r="751" ht="15.75" customHeight="1">
      <c r="E751" s="118"/>
    </row>
    <row r="752" ht="15.75" customHeight="1">
      <c r="E752" s="118"/>
    </row>
    <row r="753" ht="15.75" customHeight="1">
      <c r="E753" s="118"/>
    </row>
    <row r="754" ht="15.75" customHeight="1">
      <c r="E754" s="118"/>
    </row>
    <row r="755" ht="15.75" customHeight="1">
      <c r="E755" s="118"/>
    </row>
    <row r="756" ht="15.75" customHeight="1">
      <c r="E756" s="118"/>
    </row>
    <row r="757" ht="15.75" customHeight="1">
      <c r="E757" s="118"/>
    </row>
    <row r="758" ht="15.75" customHeight="1">
      <c r="E758" s="118"/>
    </row>
    <row r="759" ht="15.75" customHeight="1">
      <c r="E759" s="118"/>
    </row>
    <row r="760" ht="15.75" customHeight="1">
      <c r="E760" s="118"/>
    </row>
    <row r="761" ht="15.75" customHeight="1">
      <c r="E761" s="118"/>
    </row>
    <row r="762" ht="15.75" customHeight="1">
      <c r="E762" s="118"/>
    </row>
    <row r="763" ht="15.75" customHeight="1">
      <c r="E763" s="118"/>
    </row>
    <row r="764" ht="15.75" customHeight="1">
      <c r="E764" s="118"/>
    </row>
    <row r="765" ht="15.75" customHeight="1">
      <c r="E765" s="118"/>
    </row>
    <row r="766" ht="15.75" customHeight="1">
      <c r="E766" s="118"/>
    </row>
    <row r="767" ht="15.75" customHeight="1">
      <c r="E767" s="118"/>
    </row>
    <row r="768" ht="15.75" customHeight="1">
      <c r="E768" s="118"/>
    </row>
    <row r="769" ht="15.75" customHeight="1">
      <c r="E769" s="118"/>
    </row>
    <row r="770" ht="15.75" customHeight="1">
      <c r="E770" s="118"/>
    </row>
    <row r="771" ht="15.75" customHeight="1">
      <c r="E771" s="118"/>
    </row>
    <row r="772" ht="15.75" customHeight="1">
      <c r="E772" s="118"/>
    </row>
    <row r="773" ht="15.75" customHeight="1">
      <c r="E773" s="118"/>
    </row>
    <row r="774" ht="15.75" customHeight="1">
      <c r="E774" s="118"/>
    </row>
    <row r="775" ht="15.75" customHeight="1">
      <c r="E775" s="118"/>
    </row>
    <row r="776" ht="15.75" customHeight="1">
      <c r="E776" s="118"/>
    </row>
    <row r="777" ht="15.75" customHeight="1">
      <c r="E777" s="118"/>
    </row>
    <row r="778" ht="15.75" customHeight="1">
      <c r="E778" s="118"/>
    </row>
    <row r="779" ht="15.75" customHeight="1">
      <c r="E779" s="118"/>
    </row>
    <row r="780" ht="15.75" customHeight="1">
      <c r="E780" s="118"/>
    </row>
    <row r="781" ht="15.75" customHeight="1">
      <c r="E781" s="118"/>
    </row>
    <row r="782" ht="15.75" customHeight="1">
      <c r="E782" s="118"/>
    </row>
    <row r="783" ht="15.75" customHeight="1">
      <c r="E783" s="118"/>
    </row>
    <row r="784" ht="15.75" customHeight="1">
      <c r="E784" s="118"/>
    </row>
    <row r="785" ht="15.75" customHeight="1">
      <c r="E785" s="118"/>
    </row>
    <row r="786" ht="15.75" customHeight="1">
      <c r="E786" s="118"/>
    </row>
    <row r="787" ht="15.75" customHeight="1">
      <c r="E787" s="118"/>
    </row>
    <row r="788" ht="15.75" customHeight="1">
      <c r="E788" s="118"/>
    </row>
    <row r="789" ht="15.75" customHeight="1">
      <c r="E789" s="118"/>
    </row>
    <row r="790" ht="15.75" customHeight="1">
      <c r="E790" s="118"/>
    </row>
    <row r="791" ht="15.75" customHeight="1">
      <c r="E791" s="118"/>
    </row>
    <row r="792" ht="15.75" customHeight="1">
      <c r="E792" s="118"/>
    </row>
    <row r="793" ht="15.75" customHeight="1">
      <c r="E793" s="118"/>
    </row>
    <row r="794" ht="15.75" customHeight="1">
      <c r="E794" s="118"/>
    </row>
    <row r="795" ht="15.75" customHeight="1">
      <c r="E795" s="118"/>
    </row>
    <row r="796" ht="15.75" customHeight="1">
      <c r="E796" s="118"/>
    </row>
    <row r="797" ht="15.75" customHeight="1">
      <c r="E797" s="118"/>
    </row>
    <row r="798" ht="15.75" customHeight="1">
      <c r="E798" s="118"/>
    </row>
    <row r="799" ht="15.75" customHeight="1">
      <c r="E799" s="118"/>
    </row>
    <row r="800" ht="15.75" customHeight="1">
      <c r="E800" s="118"/>
    </row>
    <row r="801" ht="15.75" customHeight="1">
      <c r="E801" s="118"/>
    </row>
    <row r="802" ht="15.75" customHeight="1">
      <c r="E802" s="118"/>
    </row>
    <row r="803" ht="15.75" customHeight="1">
      <c r="E803" s="118"/>
    </row>
    <row r="804" ht="15.75" customHeight="1">
      <c r="E804" s="118"/>
    </row>
    <row r="805" ht="15.75" customHeight="1">
      <c r="E805" s="118"/>
    </row>
    <row r="806" ht="15.75" customHeight="1">
      <c r="E806" s="118"/>
    </row>
    <row r="807" ht="15.75" customHeight="1">
      <c r="E807" s="118"/>
    </row>
    <row r="808" ht="15.75" customHeight="1">
      <c r="E808" s="118"/>
    </row>
    <row r="809" ht="15.75" customHeight="1">
      <c r="E809" s="118"/>
    </row>
    <row r="810" ht="15.75" customHeight="1">
      <c r="E810" s="118"/>
    </row>
    <row r="811" ht="15.75" customHeight="1">
      <c r="E811" s="118"/>
    </row>
    <row r="812" ht="15.75" customHeight="1">
      <c r="E812" s="118"/>
    </row>
    <row r="813" ht="15.75" customHeight="1">
      <c r="E813" s="118"/>
    </row>
    <row r="814" ht="15.75" customHeight="1">
      <c r="E814" s="118"/>
    </row>
    <row r="815" ht="15.75" customHeight="1">
      <c r="E815" s="118"/>
    </row>
    <row r="816" ht="15.75" customHeight="1">
      <c r="E816" s="118"/>
    </row>
    <row r="817" ht="15.75" customHeight="1">
      <c r="E817" s="118"/>
    </row>
    <row r="818" ht="15.75" customHeight="1">
      <c r="E818" s="118"/>
    </row>
    <row r="819" ht="15.75" customHeight="1">
      <c r="E819" s="118"/>
    </row>
    <row r="820" ht="15.75" customHeight="1">
      <c r="E820" s="118"/>
    </row>
    <row r="821" ht="15.75" customHeight="1">
      <c r="E821" s="118"/>
    </row>
    <row r="822" ht="15.75" customHeight="1">
      <c r="E822" s="118"/>
    </row>
    <row r="823" ht="15.75" customHeight="1">
      <c r="E823" s="118"/>
    </row>
    <row r="824" ht="15.75" customHeight="1">
      <c r="E824" s="118"/>
    </row>
    <row r="825" ht="15.75" customHeight="1">
      <c r="E825" s="118"/>
    </row>
    <row r="826" ht="15.75" customHeight="1">
      <c r="E826" s="118"/>
    </row>
    <row r="827" ht="15.75" customHeight="1">
      <c r="E827" s="118"/>
    </row>
    <row r="828" ht="15.75" customHeight="1">
      <c r="E828" s="118"/>
    </row>
    <row r="829" ht="15.75" customHeight="1">
      <c r="E829" s="118"/>
    </row>
    <row r="830" ht="15.75" customHeight="1">
      <c r="E830" s="118"/>
    </row>
    <row r="831" ht="15.75" customHeight="1">
      <c r="E831" s="118"/>
    </row>
    <row r="832" ht="15.75" customHeight="1">
      <c r="E832" s="118"/>
    </row>
    <row r="833" ht="15.75" customHeight="1">
      <c r="E833" s="118"/>
    </row>
    <row r="834" ht="15.75" customHeight="1">
      <c r="E834" s="118"/>
    </row>
    <row r="835" ht="15.75" customHeight="1">
      <c r="E835" s="118"/>
    </row>
    <row r="836" ht="15.75" customHeight="1">
      <c r="E836" s="118"/>
    </row>
    <row r="837" ht="15.75" customHeight="1">
      <c r="E837" s="118"/>
    </row>
    <row r="838" ht="15.75" customHeight="1">
      <c r="E838" s="118"/>
    </row>
    <row r="839" ht="15.75" customHeight="1">
      <c r="E839" s="118"/>
    </row>
    <row r="840" ht="15.75" customHeight="1">
      <c r="E840" s="118"/>
    </row>
    <row r="841" ht="15.75" customHeight="1">
      <c r="E841" s="118"/>
    </row>
    <row r="842" ht="15.75" customHeight="1">
      <c r="E842" s="118"/>
    </row>
    <row r="843" ht="15.75" customHeight="1">
      <c r="E843" s="118"/>
    </row>
    <row r="844" ht="15.75" customHeight="1">
      <c r="E844" s="118"/>
    </row>
    <row r="845" ht="15.75" customHeight="1">
      <c r="E845" s="118"/>
    </row>
    <row r="846" ht="15.75" customHeight="1">
      <c r="E846" s="118"/>
    </row>
    <row r="847" ht="15.75" customHeight="1">
      <c r="E847" s="118"/>
    </row>
    <row r="848" ht="15.75" customHeight="1">
      <c r="E848" s="118"/>
    </row>
    <row r="849" ht="15.75" customHeight="1">
      <c r="E849" s="118"/>
    </row>
    <row r="850" ht="15.75" customHeight="1">
      <c r="E850" s="118"/>
    </row>
    <row r="851" ht="15.75" customHeight="1">
      <c r="E851" s="118"/>
    </row>
    <row r="852" ht="15.75" customHeight="1">
      <c r="E852" s="118"/>
    </row>
    <row r="853" ht="15.75" customHeight="1">
      <c r="E853" s="118"/>
    </row>
    <row r="854" ht="15.75" customHeight="1">
      <c r="E854" s="118"/>
    </row>
    <row r="855" ht="15.75" customHeight="1">
      <c r="E855" s="118"/>
    </row>
    <row r="856" ht="15.75" customHeight="1">
      <c r="E856" s="118"/>
    </row>
    <row r="857" ht="15.75" customHeight="1">
      <c r="E857" s="118"/>
    </row>
    <row r="858" ht="15.75" customHeight="1">
      <c r="E858" s="118"/>
    </row>
    <row r="859" ht="15.75" customHeight="1">
      <c r="E859" s="118"/>
    </row>
    <row r="860" ht="15.75" customHeight="1">
      <c r="E860" s="118"/>
    </row>
    <row r="861" ht="15.75" customHeight="1">
      <c r="E861" s="118"/>
    </row>
    <row r="862" ht="15.75" customHeight="1">
      <c r="E862" s="118"/>
    </row>
    <row r="863" ht="15.75" customHeight="1">
      <c r="E863" s="118"/>
    </row>
    <row r="864" ht="15.75" customHeight="1">
      <c r="E864" s="118"/>
    </row>
    <row r="865" ht="15.75" customHeight="1">
      <c r="E865" s="118"/>
    </row>
    <row r="866" ht="15.75" customHeight="1">
      <c r="E866" s="118"/>
    </row>
    <row r="867" ht="15.75" customHeight="1">
      <c r="E867" s="118"/>
    </row>
    <row r="868" ht="15.75" customHeight="1">
      <c r="E868" s="118"/>
    </row>
    <row r="869" ht="15.75" customHeight="1">
      <c r="E869" s="118"/>
    </row>
    <row r="870" ht="15.75" customHeight="1">
      <c r="E870" s="118"/>
    </row>
    <row r="871" ht="15.75" customHeight="1">
      <c r="E871" s="118"/>
    </row>
    <row r="872" ht="15.75" customHeight="1">
      <c r="E872" s="118"/>
    </row>
    <row r="873" ht="15.75" customHeight="1">
      <c r="E873" s="118"/>
    </row>
    <row r="874" ht="15.75" customHeight="1">
      <c r="E874" s="118"/>
    </row>
    <row r="875" ht="15.75" customHeight="1">
      <c r="E875" s="118"/>
    </row>
    <row r="876" ht="15.75" customHeight="1">
      <c r="E876" s="118"/>
    </row>
    <row r="877" ht="15.75" customHeight="1">
      <c r="E877" s="118"/>
    </row>
    <row r="878" ht="15.75" customHeight="1">
      <c r="E878" s="118"/>
    </row>
    <row r="879" ht="15.75" customHeight="1">
      <c r="E879" s="118"/>
    </row>
    <row r="880" ht="15.75" customHeight="1">
      <c r="E880" s="118"/>
    </row>
    <row r="881" ht="15.75" customHeight="1">
      <c r="E881" s="118"/>
    </row>
    <row r="882" ht="15.75" customHeight="1">
      <c r="E882" s="118"/>
    </row>
    <row r="883" ht="15.75" customHeight="1">
      <c r="E883" s="118"/>
    </row>
    <row r="884" ht="15.75" customHeight="1">
      <c r="E884" s="118"/>
    </row>
    <row r="885" ht="15.75" customHeight="1">
      <c r="E885" s="118"/>
    </row>
    <row r="886" ht="15.75" customHeight="1">
      <c r="E886" s="118"/>
    </row>
    <row r="887" ht="15.75" customHeight="1">
      <c r="E887" s="118"/>
    </row>
    <row r="888" ht="15.75" customHeight="1">
      <c r="E888" s="118"/>
    </row>
    <row r="889" ht="15.75" customHeight="1">
      <c r="E889" s="118"/>
    </row>
    <row r="890" ht="15.75" customHeight="1">
      <c r="E890" s="118"/>
    </row>
    <row r="891" ht="15.75" customHeight="1">
      <c r="E891" s="118"/>
    </row>
    <row r="892" ht="15.75" customHeight="1">
      <c r="E892" s="118"/>
    </row>
    <row r="893" ht="15.75" customHeight="1">
      <c r="E893" s="118"/>
    </row>
    <row r="894" ht="15.75" customHeight="1">
      <c r="E894" s="118"/>
    </row>
    <row r="895" ht="15.75" customHeight="1">
      <c r="E895" s="118"/>
    </row>
    <row r="896" ht="15.75" customHeight="1">
      <c r="E896" s="118"/>
    </row>
    <row r="897" ht="15.75" customHeight="1">
      <c r="E897" s="118"/>
    </row>
    <row r="898" ht="15.75" customHeight="1">
      <c r="E898" s="118"/>
    </row>
    <row r="899" ht="15.75" customHeight="1">
      <c r="E899" s="118"/>
    </row>
    <row r="900" ht="15.75" customHeight="1">
      <c r="E900" s="118"/>
    </row>
    <row r="901" ht="15.75" customHeight="1">
      <c r="E901" s="118"/>
    </row>
    <row r="902" ht="15.75" customHeight="1">
      <c r="E902" s="118"/>
    </row>
    <row r="903" ht="15.75" customHeight="1">
      <c r="E903" s="118"/>
    </row>
    <row r="904" ht="15.75" customHeight="1">
      <c r="E904" s="118"/>
    </row>
    <row r="905" ht="15.75" customHeight="1">
      <c r="E905" s="118"/>
    </row>
    <row r="906" ht="15.75" customHeight="1">
      <c r="E906" s="118"/>
    </row>
    <row r="907" ht="15.75" customHeight="1">
      <c r="E907" s="118"/>
    </row>
    <row r="908" ht="15.75" customHeight="1">
      <c r="E908" s="118"/>
    </row>
    <row r="909" ht="15.75" customHeight="1">
      <c r="E909" s="118"/>
    </row>
    <row r="910" ht="15.75" customHeight="1">
      <c r="E910" s="118"/>
    </row>
    <row r="911" ht="15.75" customHeight="1">
      <c r="E911" s="118"/>
    </row>
    <row r="912" ht="15.75" customHeight="1">
      <c r="E912" s="118"/>
    </row>
    <row r="913" ht="15.75" customHeight="1">
      <c r="E913" s="118"/>
    </row>
    <row r="914" ht="15.75" customHeight="1">
      <c r="E914" s="118"/>
    </row>
    <row r="915" ht="15.75" customHeight="1">
      <c r="E915" s="118"/>
    </row>
    <row r="916" ht="15.75" customHeight="1">
      <c r="E916" s="118"/>
    </row>
    <row r="917" ht="15.75" customHeight="1">
      <c r="E917" s="118"/>
    </row>
    <row r="918" ht="15.75" customHeight="1">
      <c r="E918" s="118"/>
    </row>
    <row r="919" ht="15.75" customHeight="1">
      <c r="E919" s="118"/>
    </row>
    <row r="920" ht="15.75" customHeight="1">
      <c r="E920" s="118"/>
    </row>
    <row r="921" ht="15.75" customHeight="1">
      <c r="E921" s="118"/>
    </row>
    <row r="922" ht="15.75" customHeight="1">
      <c r="E922" s="118"/>
    </row>
    <row r="923" ht="15.75" customHeight="1">
      <c r="E923" s="118"/>
    </row>
    <row r="924" ht="15.75" customHeight="1">
      <c r="E924" s="118"/>
    </row>
    <row r="925" ht="15.75" customHeight="1">
      <c r="E925" s="118"/>
    </row>
    <row r="926" ht="15.75" customHeight="1">
      <c r="E926" s="118"/>
    </row>
    <row r="927" ht="15.75" customHeight="1">
      <c r="E927" s="118"/>
    </row>
    <row r="928" ht="15.75" customHeight="1">
      <c r="E928" s="118"/>
    </row>
    <row r="929" ht="15.75" customHeight="1">
      <c r="E929" s="118"/>
    </row>
    <row r="930" ht="15.75" customHeight="1">
      <c r="E930" s="118"/>
    </row>
    <row r="931" ht="15.75" customHeight="1">
      <c r="E931" s="118"/>
    </row>
    <row r="932" ht="15.75" customHeight="1">
      <c r="E932" s="118"/>
    </row>
    <row r="933" ht="15.75" customHeight="1">
      <c r="E933" s="118"/>
    </row>
    <row r="934" ht="15.75" customHeight="1">
      <c r="E934" s="118"/>
    </row>
    <row r="935" ht="15.75" customHeight="1">
      <c r="E935" s="118"/>
    </row>
    <row r="936" ht="15.75" customHeight="1">
      <c r="E936" s="118"/>
    </row>
    <row r="937" ht="15.75" customHeight="1">
      <c r="E937" s="118"/>
    </row>
    <row r="938" ht="15.75" customHeight="1">
      <c r="E938" s="118"/>
    </row>
    <row r="939" ht="15.75" customHeight="1">
      <c r="E939" s="118"/>
    </row>
    <row r="940" ht="15.75" customHeight="1">
      <c r="E940" s="118"/>
    </row>
    <row r="941" ht="15.75" customHeight="1">
      <c r="E941" s="118"/>
    </row>
    <row r="942" ht="15.75" customHeight="1">
      <c r="E942" s="118"/>
    </row>
    <row r="943" ht="15.75" customHeight="1">
      <c r="E943" s="118"/>
    </row>
    <row r="944" ht="15.75" customHeight="1">
      <c r="E944" s="118"/>
    </row>
    <row r="945" ht="15.75" customHeight="1">
      <c r="E945" s="118"/>
    </row>
    <row r="946" ht="15.75" customHeight="1">
      <c r="E946" s="118"/>
    </row>
    <row r="947" ht="15.75" customHeight="1">
      <c r="E947" s="118"/>
    </row>
    <row r="948" ht="15.75" customHeight="1">
      <c r="E948" s="118"/>
    </row>
    <row r="949" ht="15.75" customHeight="1">
      <c r="E949" s="118"/>
    </row>
    <row r="950" ht="15.75" customHeight="1">
      <c r="E950" s="118"/>
    </row>
    <row r="951" ht="15.75" customHeight="1">
      <c r="E951" s="118"/>
    </row>
    <row r="952" ht="15.75" customHeight="1">
      <c r="E952" s="118"/>
    </row>
    <row r="953" ht="15.75" customHeight="1">
      <c r="E953" s="118"/>
    </row>
    <row r="954" ht="15.75" customHeight="1">
      <c r="E954" s="118"/>
    </row>
    <row r="955" ht="15.75" customHeight="1">
      <c r="E955" s="118"/>
    </row>
    <row r="956" ht="15.75" customHeight="1">
      <c r="E956" s="118"/>
    </row>
    <row r="957" ht="15.75" customHeight="1">
      <c r="E957" s="118"/>
    </row>
    <row r="958" ht="15.75" customHeight="1">
      <c r="E958" s="118"/>
    </row>
    <row r="959" ht="15.75" customHeight="1">
      <c r="E959" s="118"/>
    </row>
    <row r="960" ht="15.75" customHeight="1">
      <c r="E960" s="118"/>
    </row>
    <row r="961" ht="15.75" customHeight="1">
      <c r="E961" s="118"/>
    </row>
    <row r="962" ht="15.75" customHeight="1">
      <c r="E962" s="118"/>
    </row>
    <row r="963" ht="15.75" customHeight="1">
      <c r="E963" s="118"/>
    </row>
    <row r="964" ht="15.75" customHeight="1">
      <c r="E964" s="118"/>
    </row>
    <row r="965" ht="15.75" customHeight="1">
      <c r="E965" s="118"/>
    </row>
    <row r="966" ht="15.75" customHeight="1">
      <c r="E966" s="118"/>
    </row>
    <row r="967" ht="15.75" customHeight="1">
      <c r="E967" s="118"/>
    </row>
    <row r="968" ht="15.75" customHeight="1">
      <c r="E968" s="118"/>
    </row>
    <row r="969" ht="15.75" customHeight="1">
      <c r="E969" s="118"/>
    </row>
    <row r="970" ht="15.75" customHeight="1">
      <c r="E970" s="118"/>
    </row>
    <row r="971" ht="15.75" customHeight="1">
      <c r="E971" s="118"/>
    </row>
    <row r="972" ht="15.75" customHeight="1">
      <c r="E972" s="118"/>
    </row>
    <row r="973" ht="15.75" customHeight="1">
      <c r="E973" s="118"/>
    </row>
    <row r="974" ht="15.75" customHeight="1">
      <c r="E974" s="118"/>
    </row>
    <row r="975" ht="15.75" customHeight="1">
      <c r="E975" s="118"/>
    </row>
    <row r="976" ht="15.75" customHeight="1">
      <c r="E976" s="118"/>
    </row>
    <row r="977" ht="15.75" customHeight="1">
      <c r="E977" s="118"/>
    </row>
    <row r="978" ht="15.75" customHeight="1">
      <c r="E978" s="118"/>
    </row>
    <row r="979" ht="15.75" customHeight="1">
      <c r="E979" s="118"/>
    </row>
    <row r="980" ht="15.75" customHeight="1">
      <c r="E980" s="118"/>
    </row>
    <row r="981" ht="15.75" customHeight="1">
      <c r="E981" s="118"/>
    </row>
    <row r="982" ht="15.75" customHeight="1">
      <c r="E982" s="118"/>
    </row>
    <row r="983" ht="15.75" customHeight="1">
      <c r="E983" s="118"/>
    </row>
    <row r="984" ht="15.75" customHeight="1">
      <c r="E984" s="118"/>
    </row>
    <row r="985" ht="15.75" customHeight="1">
      <c r="E985" s="118"/>
    </row>
    <row r="986" ht="15.75" customHeight="1">
      <c r="E986" s="118"/>
    </row>
    <row r="987" ht="15.75" customHeight="1">
      <c r="E987" s="118"/>
    </row>
    <row r="988" ht="15.75" customHeight="1">
      <c r="E988" s="118"/>
    </row>
    <row r="989" ht="15.75" customHeight="1">
      <c r="E989" s="118"/>
    </row>
    <row r="990" ht="15.75" customHeight="1">
      <c r="E990" s="118"/>
    </row>
    <row r="991" ht="15.75" customHeight="1">
      <c r="E991" s="118"/>
    </row>
    <row r="992" ht="15.75" customHeight="1">
      <c r="E992" s="118"/>
    </row>
    <row r="993" ht="15.75" customHeight="1">
      <c r="E993" s="118"/>
    </row>
    <row r="994" ht="15.75" customHeight="1">
      <c r="E994" s="118"/>
    </row>
    <row r="995" ht="15.75" customHeight="1">
      <c r="E995" s="118"/>
    </row>
    <row r="996" ht="15.75" customHeight="1">
      <c r="E996" s="118"/>
    </row>
    <row r="997" ht="15.75" customHeight="1">
      <c r="E997" s="118"/>
    </row>
    <row r="998" ht="15.75" customHeight="1">
      <c r="E998" s="118"/>
    </row>
    <row r="999" ht="15.75" customHeight="1">
      <c r="E999" s="118"/>
    </row>
    <row r="1000" ht="15.75" customHeight="1">
      <c r="E1000" s="118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0"/>
    <col customWidth="1" min="3" max="3" width="15.14"/>
    <col customWidth="1" min="4" max="4" width="10.71"/>
    <col customWidth="1" min="5" max="5" width="18.43"/>
    <col customWidth="1" min="6" max="6" width="47.57"/>
    <col customWidth="1" min="7" max="26" width="10.71"/>
  </cols>
  <sheetData>
    <row r="1">
      <c r="A1" s="91" t="s">
        <v>0</v>
      </c>
      <c r="B1" s="94" t="s">
        <v>1</v>
      </c>
      <c r="C1" s="94" t="s">
        <v>2</v>
      </c>
      <c r="D1" s="94" t="s">
        <v>3</v>
      </c>
      <c r="E1" s="97" t="s">
        <v>4</v>
      </c>
      <c r="F1" s="94" t="s">
        <v>5</v>
      </c>
    </row>
    <row r="2">
      <c r="A2" s="107">
        <v>45984.0</v>
      </c>
      <c r="B2" s="102" t="s">
        <v>10</v>
      </c>
      <c r="C2" s="100">
        <v>0.0</v>
      </c>
      <c r="D2" s="100">
        <v>60000.0</v>
      </c>
      <c r="E2" s="101">
        <v>-60000.0</v>
      </c>
      <c r="F2" s="102"/>
    </row>
    <row r="3">
      <c r="A3" s="109">
        <v>45993.0</v>
      </c>
      <c r="B3" s="110" t="s">
        <v>6</v>
      </c>
      <c r="C3" s="111">
        <v>126900.0</v>
      </c>
      <c r="D3" s="111">
        <v>0.0</v>
      </c>
      <c r="E3" s="112">
        <v>66900.0</v>
      </c>
      <c r="F3" s="110" t="s">
        <v>367</v>
      </c>
    </row>
    <row r="4">
      <c r="A4" s="109">
        <v>45999.0</v>
      </c>
      <c r="B4" s="110" t="s">
        <v>10</v>
      </c>
      <c r="C4" s="111">
        <v>0.0</v>
      </c>
      <c r="D4" s="111">
        <v>66900.0</v>
      </c>
      <c r="E4" s="112">
        <v>63450.0</v>
      </c>
      <c r="F4" s="110"/>
    </row>
    <row r="5">
      <c r="A5" s="113">
        <v>45999.0</v>
      </c>
      <c r="B5" s="114" t="s">
        <v>6</v>
      </c>
      <c r="C5" s="115">
        <v>63450.0</v>
      </c>
      <c r="D5" s="115">
        <v>0.0</v>
      </c>
      <c r="E5" s="116">
        <v>130350.0</v>
      </c>
      <c r="F5" s="114" t="s">
        <v>368</v>
      </c>
    </row>
    <row r="6">
      <c r="A6" s="107">
        <v>46000.0</v>
      </c>
      <c r="B6" s="102" t="s">
        <v>6</v>
      </c>
      <c r="C6" s="100">
        <v>63450.0</v>
      </c>
      <c r="D6" s="100">
        <v>0.0</v>
      </c>
      <c r="E6" s="101">
        <v>126900.0</v>
      </c>
      <c r="F6" s="102" t="s">
        <v>369</v>
      </c>
    </row>
    <row r="7">
      <c r="A7" s="109">
        <v>46002.0</v>
      </c>
      <c r="B7" s="110" t="s">
        <v>6</v>
      </c>
      <c r="C7" s="111">
        <v>63450.0</v>
      </c>
      <c r="D7" s="111">
        <v>0.0</v>
      </c>
      <c r="E7" s="112">
        <v>190350.0</v>
      </c>
      <c r="F7" s="110" t="s">
        <v>370</v>
      </c>
    </row>
    <row r="8">
      <c r="A8" s="107">
        <v>46008.0</v>
      </c>
      <c r="B8" s="102" t="s">
        <v>6</v>
      </c>
      <c r="C8" s="100">
        <v>75200.0</v>
      </c>
      <c r="D8" s="100">
        <v>0.0</v>
      </c>
      <c r="E8" s="101">
        <v>265550.0</v>
      </c>
      <c r="F8" s="102" t="s">
        <v>371</v>
      </c>
    </row>
    <row r="9">
      <c r="A9" s="109">
        <v>46009.0</v>
      </c>
      <c r="B9" s="110" t="s">
        <v>6</v>
      </c>
      <c r="C9" s="111">
        <v>63450.0</v>
      </c>
      <c r="D9" s="111">
        <v>0.0</v>
      </c>
      <c r="E9" s="112">
        <v>329000.0</v>
      </c>
      <c r="F9" s="110" t="s">
        <v>372</v>
      </c>
    </row>
    <row r="10">
      <c r="A10" s="107">
        <v>46012.0</v>
      </c>
      <c r="B10" s="102" t="s">
        <v>6</v>
      </c>
      <c r="C10" s="100">
        <v>126900.0</v>
      </c>
      <c r="D10" s="100">
        <v>0.0</v>
      </c>
      <c r="E10" s="101">
        <v>455900.0</v>
      </c>
      <c r="F10" s="102" t="s">
        <v>375</v>
      </c>
    </row>
    <row r="11">
      <c r="A11" s="109">
        <v>46015.0</v>
      </c>
      <c r="B11" s="110" t="s">
        <v>6</v>
      </c>
      <c r="C11" s="111">
        <v>63450.0</v>
      </c>
      <c r="D11" s="111">
        <v>0.0</v>
      </c>
      <c r="E11" s="112">
        <v>519350.0</v>
      </c>
      <c r="F11" s="110" t="s">
        <v>376</v>
      </c>
    </row>
    <row r="12">
      <c r="A12" s="107">
        <v>46018.0</v>
      </c>
      <c r="B12" s="102" t="s">
        <v>10</v>
      </c>
      <c r="C12" s="100">
        <v>0.0</v>
      </c>
      <c r="D12" s="100">
        <v>400000.0</v>
      </c>
      <c r="E12" s="101">
        <v>119350.0</v>
      </c>
      <c r="F12" s="102"/>
    </row>
    <row r="13">
      <c r="A13" s="109">
        <v>46019.0</v>
      </c>
      <c r="B13" s="110" t="s">
        <v>6</v>
      </c>
      <c r="C13" s="111">
        <v>172500.0</v>
      </c>
      <c r="D13" s="111">
        <v>0.0</v>
      </c>
      <c r="E13" s="112">
        <v>679350.0</v>
      </c>
      <c r="F13" s="110" t="s">
        <v>378</v>
      </c>
    </row>
    <row r="14">
      <c r="A14" s="107">
        <v>46019.0</v>
      </c>
      <c r="B14" s="102" t="s">
        <v>6</v>
      </c>
      <c r="C14" s="100">
        <v>172500.0</v>
      </c>
      <c r="D14" s="100">
        <v>0.0</v>
      </c>
      <c r="E14" s="101">
        <v>506850.0</v>
      </c>
      <c r="F14" s="102" t="s">
        <v>379</v>
      </c>
    </row>
    <row r="15">
      <c r="A15" s="109">
        <v>46019.0</v>
      </c>
      <c r="B15" s="110" t="s">
        <v>6</v>
      </c>
      <c r="C15" s="111">
        <v>215000.0</v>
      </c>
      <c r="D15" s="111">
        <v>0.0</v>
      </c>
      <c r="E15" s="112">
        <v>334350.0</v>
      </c>
      <c r="F15" s="110" t="s">
        <v>381</v>
      </c>
    </row>
    <row r="16">
      <c r="A16" s="107">
        <v>46020.0</v>
      </c>
      <c r="B16" s="102" t="s">
        <v>10</v>
      </c>
      <c r="C16" s="100">
        <v>0.0</v>
      </c>
      <c r="D16" s="100">
        <v>200000.0</v>
      </c>
      <c r="E16" s="101">
        <v>479350.0</v>
      </c>
      <c r="F16" s="102"/>
    </row>
    <row r="17">
      <c r="A17" s="27">
        <v>46033.0</v>
      </c>
      <c r="B17" s="102" t="s">
        <v>10</v>
      </c>
      <c r="C17" s="33"/>
      <c r="D17" s="34">
        <v>500000.0</v>
      </c>
      <c r="E17" s="117">
        <f>E16-D17+C17</f>
        <v>-20650</v>
      </c>
    </row>
    <row r="18">
      <c r="C18" s="33"/>
      <c r="D18" s="33"/>
      <c r="E18" s="117"/>
    </row>
    <row r="19">
      <c r="C19" s="33"/>
      <c r="D19" s="33"/>
      <c r="E19" s="117"/>
    </row>
    <row r="20">
      <c r="C20" s="33"/>
      <c r="D20" s="33"/>
      <c r="E20" s="117"/>
    </row>
    <row r="21" ht="15.75" customHeight="1">
      <c r="C21" s="33"/>
      <c r="D21" s="33"/>
      <c r="E21" s="117"/>
    </row>
    <row r="22" ht="15.75" customHeight="1">
      <c r="E22" s="118"/>
    </row>
    <row r="23" ht="15.75" customHeight="1">
      <c r="E23" s="118"/>
    </row>
    <row r="24" ht="15.75" customHeight="1">
      <c r="E24" s="118"/>
    </row>
    <row r="25" ht="15.75" customHeight="1">
      <c r="E25" s="118"/>
    </row>
    <row r="26" ht="15.75" customHeight="1">
      <c r="E26" s="118"/>
    </row>
    <row r="27" ht="15.75" customHeight="1">
      <c r="E27" s="118"/>
    </row>
    <row r="28" ht="15.75" customHeight="1">
      <c r="E28" s="118"/>
    </row>
    <row r="29" ht="15.75" customHeight="1">
      <c r="E29" s="118"/>
    </row>
    <row r="30" ht="15.75" customHeight="1">
      <c r="E30" s="118"/>
    </row>
    <row r="31" ht="15.75" customHeight="1">
      <c r="E31" s="118"/>
    </row>
    <row r="32" ht="15.75" customHeight="1">
      <c r="E32" s="118"/>
    </row>
    <row r="33" ht="15.75" customHeight="1">
      <c r="E33" s="118"/>
    </row>
    <row r="34" ht="15.75" customHeight="1">
      <c r="E34" s="118"/>
    </row>
    <row r="35" ht="15.75" customHeight="1">
      <c r="E35" s="118"/>
    </row>
    <row r="36" ht="15.75" customHeight="1">
      <c r="E36" s="118"/>
    </row>
    <row r="37" ht="15.75" customHeight="1">
      <c r="E37" s="118"/>
    </row>
    <row r="38" ht="15.75" customHeight="1">
      <c r="E38" s="118"/>
    </row>
    <row r="39" ht="15.75" customHeight="1">
      <c r="E39" s="118"/>
    </row>
    <row r="40" ht="15.75" customHeight="1">
      <c r="E40" s="118"/>
    </row>
    <row r="41" ht="15.75" customHeight="1">
      <c r="E41" s="118"/>
    </row>
    <row r="42" ht="15.75" customHeight="1">
      <c r="E42" s="118"/>
    </row>
    <row r="43" ht="15.75" customHeight="1">
      <c r="E43" s="118"/>
    </row>
    <row r="44" ht="15.75" customHeight="1">
      <c r="E44" s="118"/>
    </row>
    <row r="45" ht="15.75" customHeight="1">
      <c r="E45" s="118"/>
    </row>
    <row r="46" ht="15.75" customHeight="1">
      <c r="E46" s="118"/>
    </row>
    <row r="47" ht="15.75" customHeight="1">
      <c r="E47" s="118"/>
    </row>
    <row r="48" ht="15.75" customHeight="1">
      <c r="E48" s="118"/>
    </row>
    <row r="49" ht="15.75" customHeight="1">
      <c r="E49" s="118"/>
    </row>
    <row r="50" ht="15.75" customHeight="1">
      <c r="E50" s="118"/>
    </row>
    <row r="51" ht="15.75" customHeight="1">
      <c r="E51" s="118"/>
    </row>
    <row r="52" ht="15.75" customHeight="1">
      <c r="E52" s="118"/>
    </row>
    <row r="53" ht="15.75" customHeight="1">
      <c r="E53" s="118"/>
    </row>
    <row r="54" ht="15.75" customHeight="1">
      <c r="E54" s="118"/>
    </row>
    <row r="55" ht="15.75" customHeight="1">
      <c r="E55" s="118"/>
    </row>
    <row r="56" ht="15.75" customHeight="1">
      <c r="E56" s="118"/>
    </row>
    <row r="57" ht="15.75" customHeight="1">
      <c r="E57" s="118"/>
    </row>
    <row r="58" ht="15.75" customHeight="1">
      <c r="E58" s="118"/>
    </row>
    <row r="59" ht="15.75" customHeight="1">
      <c r="E59" s="118"/>
    </row>
    <row r="60" ht="15.75" customHeight="1">
      <c r="E60" s="118"/>
    </row>
    <row r="61" ht="15.75" customHeight="1">
      <c r="E61" s="118"/>
    </row>
    <row r="62" ht="15.75" customHeight="1">
      <c r="E62" s="118"/>
    </row>
    <row r="63" ht="15.75" customHeight="1">
      <c r="E63" s="118"/>
    </row>
    <row r="64" ht="15.75" customHeight="1">
      <c r="E64" s="118"/>
    </row>
    <row r="65" ht="15.75" customHeight="1">
      <c r="E65" s="118"/>
    </row>
    <row r="66" ht="15.75" customHeight="1">
      <c r="E66" s="118"/>
    </row>
    <row r="67" ht="15.75" customHeight="1">
      <c r="E67" s="118"/>
    </row>
    <row r="68" ht="15.75" customHeight="1">
      <c r="E68" s="118"/>
    </row>
    <row r="69" ht="15.75" customHeight="1">
      <c r="E69" s="118"/>
    </row>
    <row r="70" ht="15.75" customHeight="1">
      <c r="E70" s="118"/>
    </row>
    <row r="71" ht="15.75" customHeight="1">
      <c r="E71" s="118"/>
    </row>
    <row r="72" ht="15.75" customHeight="1">
      <c r="E72" s="118"/>
    </row>
    <row r="73" ht="15.75" customHeight="1">
      <c r="E73" s="118"/>
    </row>
    <row r="74" ht="15.75" customHeight="1">
      <c r="E74" s="118"/>
    </row>
    <row r="75" ht="15.75" customHeight="1">
      <c r="E75" s="118"/>
    </row>
    <row r="76" ht="15.75" customHeight="1">
      <c r="E76" s="118"/>
    </row>
    <row r="77" ht="15.75" customHeight="1">
      <c r="E77" s="118"/>
    </row>
    <row r="78" ht="15.75" customHeight="1">
      <c r="E78" s="118"/>
    </row>
    <row r="79" ht="15.75" customHeight="1">
      <c r="E79" s="118"/>
    </row>
    <row r="80" ht="15.75" customHeight="1">
      <c r="E80" s="118"/>
    </row>
    <row r="81" ht="15.75" customHeight="1">
      <c r="E81" s="118"/>
    </row>
    <row r="82" ht="15.75" customHeight="1">
      <c r="E82" s="118"/>
    </row>
    <row r="83" ht="15.75" customHeight="1">
      <c r="E83" s="118"/>
    </row>
    <row r="84" ht="15.75" customHeight="1">
      <c r="E84" s="118"/>
    </row>
    <row r="85" ht="15.75" customHeight="1">
      <c r="E85" s="118"/>
    </row>
    <row r="86" ht="15.75" customHeight="1">
      <c r="E86" s="118"/>
    </row>
    <row r="87" ht="15.75" customHeight="1">
      <c r="E87" s="118"/>
    </row>
    <row r="88" ht="15.75" customHeight="1">
      <c r="E88" s="118"/>
    </row>
    <row r="89" ht="15.75" customHeight="1">
      <c r="E89" s="118"/>
    </row>
    <row r="90" ht="15.75" customHeight="1">
      <c r="E90" s="118"/>
    </row>
    <row r="91" ht="15.75" customHeight="1">
      <c r="E91" s="118"/>
    </row>
    <row r="92" ht="15.75" customHeight="1">
      <c r="E92" s="118"/>
    </row>
    <row r="93" ht="15.75" customHeight="1">
      <c r="E93" s="118"/>
    </row>
    <row r="94" ht="15.75" customHeight="1">
      <c r="E94" s="118"/>
    </row>
    <row r="95" ht="15.75" customHeight="1">
      <c r="E95" s="118"/>
    </row>
    <row r="96" ht="15.75" customHeight="1">
      <c r="E96" s="118"/>
    </row>
    <row r="97" ht="15.75" customHeight="1">
      <c r="E97" s="118"/>
    </row>
    <row r="98" ht="15.75" customHeight="1">
      <c r="E98" s="118"/>
    </row>
    <row r="99" ht="15.75" customHeight="1">
      <c r="E99" s="118"/>
    </row>
    <row r="100" ht="15.75" customHeight="1">
      <c r="E100" s="118"/>
    </row>
    <row r="101" ht="15.75" customHeight="1">
      <c r="E101" s="118"/>
    </row>
    <row r="102" ht="15.75" customHeight="1">
      <c r="E102" s="118"/>
    </row>
    <row r="103" ht="15.75" customHeight="1">
      <c r="E103" s="118"/>
    </row>
    <row r="104" ht="15.75" customHeight="1">
      <c r="E104" s="118"/>
    </row>
    <row r="105" ht="15.75" customHeight="1">
      <c r="E105" s="118"/>
    </row>
    <row r="106" ht="15.75" customHeight="1">
      <c r="E106" s="118"/>
    </row>
    <row r="107" ht="15.75" customHeight="1">
      <c r="E107" s="118"/>
    </row>
    <row r="108" ht="15.75" customHeight="1">
      <c r="E108" s="118"/>
    </row>
    <row r="109" ht="15.75" customHeight="1">
      <c r="E109" s="118"/>
    </row>
    <row r="110" ht="15.75" customHeight="1">
      <c r="E110" s="118"/>
    </row>
    <row r="111" ht="15.75" customHeight="1">
      <c r="E111" s="118"/>
    </row>
    <row r="112" ht="15.75" customHeight="1">
      <c r="E112" s="118"/>
    </row>
    <row r="113" ht="15.75" customHeight="1">
      <c r="E113" s="118"/>
    </row>
    <row r="114" ht="15.75" customHeight="1">
      <c r="E114" s="118"/>
    </row>
    <row r="115" ht="15.75" customHeight="1">
      <c r="E115" s="118"/>
    </row>
    <row r="116" ht="15.75" customHeight="1">
      <c r="E116" s="118"/>
    </row>
    <row r="117" ht="15.75" customHeight="1">
      <c r="E117" s="118"/>
    </row>
    <row r="118" ht="15.75" customHeight="1">
      <c r="E118" s="118"/>
    </row>
    <row r="119" ht="15.75" customHeight="1">
      <c r="E119" s="118"/>
    </row>
    <row r="120" ht="15.75" customHeight="1">
      <c r="E120" s="118"/>
    </row>
    <row r="121" ht="15.75" customHeight="1">
      <c r="E121" s="118"/>
    </row>
    <row r="122" ht="15.75" customHeight="1">
      <c r="E122" s="118"/>
    </row>
    <row r="123" ht="15.75" customHeight="1">
      <c r="E123" s="118"/>
    </row>
    <row r="124" ht="15.75" customHeight="1">
      <c r="E124" s="118"/>
    </row>
    <row r="125" ht="15.75" customHeight="1">
      <c r="E125" s="118"/>
    </row>
    <row r="126" ht="15.75" customHeight="1">
      <c r="E126" s="118"/>
    </row>
    <row r="127" ht="15.75" customHeight="1">
      <c r="E127" s="118"/>
    </row>
    <row r="128" ht="15.75" customHeight="1">
      <c r="E128" s="118"/>
    </row>
    <row r="129" ht="15.75" customHeight="1">
      <c r="E129" s="118"/>
    </row>
    <row r="130" ht="15.75" customHeight="1">
      <c r="E130" s="118"/>
    </row>
    <row r="131" ht="15.75" customHeight="1">
      <c r="E131" s="118"/>
    </row>
    <row r="132" ht="15.75" customHeight="1">
      <c r="E132" s="118"/>
    </row>
    <row r="133" ht="15.75" customHeight="1">
      <c r="E133" s="118"/>
    </row>
    <row r="134" ht="15.75" customHeight="1">
      <c r="E134" s="118"/>
    </row>
    <row r="135" ht="15.75" customHeight="1">
      <c r="E135" s="118"/>
    </row>
    <row r="136" ht="15.75" customHeight="1">
      <c r="E136" s="118"/>
    </row>
    <row r="137" ht="15.75" customHeight="1">
      <c r="E137" s="118"/>
    </row>
    <row r="138" ht="15.75" customHeight="1">
      <c r="E138" s="118"/>
    </row>
    <row r="139" ht="15.75" customHeight="1">
      <c r="E139" s="118"/>
    </row>
    <row r="140" ht="15.75" customHeight="1">
      <c r="E140" s="118"/>
    </row>
    <row r="141" ht="15.75" customHeight="1">
      <c r="E141" s="118"/>
    </row>
    <row r="142" ht="15.75" customHeight="1">
      <c r="E142" s="118"/>
    </row>
    <row r="143" ht="15.75" customHeight="1">
      <c r="E143" s="118"/>
    </row>
    <row r="144" ht="15.75" customHeight="1">
      <c r="E144" s="118"/>
    </row>
    <row r="145" ht="15.75" customHeight="1">
      <c r="E145" s="118"/>
    </row>
    <row r="146" ht="15.75" customHeight="1">
      <c r="E146" s="118"/>
    </row>
    <row r="147" ht="15.75" customHeight="1">
      <c r="E147" s="118"/>
    </row>
    <row r="148" ht="15.75" customHeight="1">
      <c r="E148" s="118"/>
    </row>
    <row r="149" ht="15.75" customHeight="1">
      <c r="E149" s="118"/>
    </row>
    <row r="150" ht="15.75" customHeight="1">
      <c r="E150" s="118"/>
    </row>
    <row r="151" ht="15.75" customHeight="1">
      <c r="E151" s="118"/>
    </row>
    <row r="152" ht="15.75" customHeight="1">
      <c r="E152" s="118"/>
    </row>
    <row r="153" ht="15.75" customHeight="1">
      <c r="E153" s="118"/>
    </row>
    <row r="154" ht="15.75" customHeight="1">
      <c r="E154" s="118"/>
    </row>
    <row r="155" ht="15.75" customHeight="1">
      <c r="E155" s="118"/>
    </row>
    <row r="156" ht="15.75" customHeight="1">
      <c r="E156" s="118"/>
    </row>
    <row r="157" ht="15.75" customHeight="1">
      <c r="E157" s="118"/>
    </row>
    <row r="158" ht="15.75" customHeight="1">
      <c r="E158" s="118"/>
    </row>
    <row r="159" ht="15.75" customHeight="1">
      <c r="E159" s="118"/>
    </row>
    <row r="160" ht="15.75" customHeight="1">
      <c r="E160" s="118"/>
    </row>
    <row r="161" ht="15.75" customHeight="1">
      <c r="E161" s="118"/>
    </row>
    <row r="162" ht="15.75" customHeight="1">
      <c r="E162" s="118"/>
    </row>
    <row r="163" ht="15.75" customHeight="1">
      <c r="E163" s="118"/>
    </row>
    <row r="164" ht="15.75" customHeight="1">
      <c r="E164" s="118"/>
    </row>
    <row r="165" ht="15.75" customHeight="1">
      <c r="E165" s="118"/>
    </row>
    <row r="166" ht="15.75" customHeight="1">
      <c r="E166" s="118"/>
    </row>
    <row r="167" ht="15.75" customHeight="1">
      <c r="E167" s="118"/>
    </row>
    <row r="168" ht="15.75" customHeight="1">
      <c r="E168" s="118"/>
    </row>
    <row r="169" ht="15.75" customHeight="1">
      <c r="E169" s="118"/>
    </row>
    <row r="170" ht="15.75" customHeight="1">
      <c r="E170" s="118"/>
    </row>
    <row r="171" ht="15.75" customHeight="1">
      <c r="E171" s="118"/>
    </row>
    <row r="172" ht="15.75" customHeight="1">
      <c r="E172" s="118"/>
    </row>
    <row r="173" ht="15.75" customHeight="1">
      <c r="E173" s="118"/>
    </row>
    <row r="174" ht="15.75" customHeight="1">
      <c r="E174" s="118"/>
    </row>
    <row r="175" ht="15.75" customHeight="1">
      <c r="E175" s="118"/>
    </row>
    <row r="176" ht="15.75" customHeight="1">
      <c r="E176" s="118"/>
    </row>
    <row r="177" ht="15.75" customHeight="1">
      <c r="E177" s="118"/>
    </row>
    <row r="178" ht="15.75" customHeight="1">
      <c r="E178" s="118"/>
    </row>
    <row r="179" ht="15.75" customHeight="1">
      <c r="E179" s="118"/>
    </row>
    <row r="180" ht="15.75" customHeight="1">
      <c r="E180" s="118"/>
    </row>
    <row r="181" ht="15.75" customHeight="1">
      <c r="E181" s="118"/>
    </row>
    <row r="182" ht="15.75" customHeight="1">
      <c r="E182" s="118"/>
    </row>
    <row r="183" ht="15.75" customHeight="1">
      <c r="E183" s="118"/>
    </row>
    <row r="184" ht="15.75" customHeight="1">
      <c r="E184" s="118"/>
    </row>
    <row r="185" ht="15.75" customHeight="1">
      <c r="E185" s="118"/>
    </row>
    <row r="186" ht="15.75" customHeight="1">
      <c r="E186" s="118"/>
    </row>
    <row r="187" ht="15.75" customHeight="1">
      <c r="E187" s="118"/>
    </row>
    <row r="188" ht="15.75" customHeight="1">
      <c r="E188" s="118"/>
    </row>
    <row r="189" ht="15.75" customHeight="1">
      <c r="E189" s="118"/>
    </row>
    <row r="190" ht="15.75" customHeight="1">
      <c r="E190" s="118"/>
    </row>
    <row r="191" ht="15.75" customHeight="1">
      <c r="E191" s="118"/>
    </row>
    <row r="192" ht="15.75" customHeight="1">
      <c r="E192" s="118"/>
    </row>
    <row r="193" ht="15.75" customHeight="1">
      <c r="E193" s="118"/>
    </row>
    <row r="194" ht="15.75" customHeight="1">
      <c r="E194" s="118"/>
    </row>
    <row r="195" ht="15.75" customHeight="1">
      <c r="E195" s="118"/>
    </row>
    <row r="196" ht="15.75" customHeight="1">
      <c r="E196" s="118"/>
    </row>
    <row r="197" ht="15.75" customHeight="1">
      <c r="E197" s="118"/>
    </row>
    <row r="198" ht="15.75" customHeight="1">
      <c r="E198" s="118"/>
    </row>
    <row r="199" ht="15.75" customHeight="1">
      <c r="E199" s="118"/>
    </row>
    <row r="200" ht="15.75" customHeight="1">
      <c r="E200" s="118"/>
    </row>
    <row r="201" ht="15.75" customHeight="1">
      <c r="E201" s="118"/>
    </row>
    <row r="202" ht="15.75" customHeight="1">
      <c r="E202" s="118"/>
    </row>
    <row r="203" ht="15.75" customHeight="1">
      <c r="E203" s="118"/>
    </row>
    <row r="204" ht="15.75" customHeight="1">
      <c r="E204" s="118"/>
    </row>
    <row r="205" ht="15.75" customHeight="1">
      <c r="E205" s="118"/>
    </row>
    <row r="206" ht="15.75" customHeight="1">
      <c r="E206" s="118"/>
    </row>
    <row r="207" ht="15.75" customHeight="1">
      <c r="E207" s="118"/>
    </row>
    <row r="208" ht="15.75" customHeight="1">
      <c r="E208" s="118"/>
    </row>
    <row r="209" ht="15.75" customHeight="1">
      <c r="E209" s="118"/>
    </row>
    <row r="210" ht="15.75" customHeight="1">
      <c r="E210" s="118"/>
    </row>
    <row r="211" ht="15.75" customHeight="1">
      <c r="E211" s="118"/>
    </row>
    <row r="212" ht="15.75" customHeight="1">
      <c r="E212" s="118"/>
    </row>
    <row r="213" ht="15.75" customHeight="1">
      <c r="E213" s="118"/>
    </row>
    <row r="214" ht="15.75" customHeight="1">
      <c r="E214" s="118"/>
    </row>
    <row r="215" ht="15.75" customHeight="1">
      <c r="E215" s="118"/>
    </row>
    <row r="216" ht="15.75" customHeight="1">
      <c r="E216" s="118"/>
    </row>
    <row r="217" ht="15.75" customHeight="1">
      <c r="E217" s="118"/>
    </row>
    <row r="218" ht="15.75" customHeight="1">
      <c r="E218" s="118"/>
    </row>
    <row r="219" ht="15.75" customHeight="1">
      <c r="E219" s="118"/>
    </row>
    <row r="220" ht="15.75" customHeight="1">
      <c r="E220" s="118"/>
    </row>
    <row r="221" ht="15.75" customHeight="1">
      <c r="E221" s="118"/>
    </row>
    <row r="222" ht="15.75" customHeight="1">
      <c r="E222" s="118"/>
    </row>
    <row r="223" ht="15.75" customHeight="1">
      <c r="E223" s="118"/>
    </row>
    <row r="224" ht="15.75" customHeight="1">
      <c r="E224" s="118"/>
    </row>
    <row r="225" ht="15.75" customHeight="1">
      <c r="E225" s="118"/>
    </row>
    <row r="226" ht="15.75" customHeight="1">
      <c r="E226" s="118"/>
    </row>
    <row r="227" ht="15.75" customHeight="1">
      <c r="E227" s="118"/>
    </row>
    <row r="228" ht="15.75" customHeight="1">
      <c r="E228" s="118"/>
    </row>
    <row r="229" ht="15.75" customHeight="1">
      <c r="E229" s="118"/>
    </row>
    <row r="230" ht="15.75" customHeight="1">
      <c r="E230" s="118"/>
    </row>
    <row r="231" ht="15.75" customHeight="1">
      <c r="E231" s="118"/>
    </row>
    <row r="232" ht="15.75" customHeight="1">
      <c r="E232" s="118"/>
    </row>
    <row r="233" ht="15.75" customHeight="1">
      <c r="E233" s="118"/>
    </row>
    <row r="234" ht="15.75" customHeight="1">
      <c r="E234" s="118"/>
    </row>
    <row r="235" ht="15.75" customHeight="1">
      <c r="E235" s="118"/>
    </row>
    <row r="236" ht="15.75" customHeight="1">
      <c r="E236" s="118"/>
    </row>
    <row r="237" ht="15.75" customHeight="1">
      <c r="E237" s="118"/>
    </row>
    <row r="238" ht="15.75" customHeight="1">
      <c r="E238" s="118"/>
    </row>
    <row r="239" ht="15.75" customHeight="1">
      <c r="E239" s="118"/>
    </row>
    <row r="240" ht="15.75" customHeight="1">
      <c r="E240" s="118"/>
    </row>
    <row r="241" ht="15.75" customHeight="1">
      <c r="E241" s="118"/>
    </row>
    <row r="242" ht="15.75" customHeight="1">
      <c r="E242" s="118"/>
    </row>
    <row r="243" ht="15.75" customHeight="1">
      <c r="E243" s="118"/>
    </row>
    <row r="244" ht="15.75" customHeight="1">
      <c r="E244" s="118"/>
    </row>
    <row r="245" ht="15.75" customHeight="1">
      <c r="E245" s="118"/>
    </row>
    <row r="246" ht="15.75" customHeight="1">
      <c r="E246" s="118"/>
    </row>
    <row r="247" ht="15.75" customHeight="1">
      <c r="E247" s="118"/>
    </row>
    <row r="248" ht="15.75" customHeight="1">
      <c r="E248" s="118"/>
    </row>
    <row r="249" ht="15.75" customHeight="1">
      <c r="E249" s="118"/>
    </row>
    <row r="250" ht="15.75" customHeight="1">
      <c r="E250" s="118"/>
    </row>
    <row r="251" ht="15.75" customHeight="1">
      <c r="E251" s="118"/>
    </row>
    <row r="252" ht="15.75" customHeight="1">
      <c r="E252" s="118"/>
    </row>
    <row r="253" ht="15.75" customHeight="1">
      <c r="E253" s="118"/>
    </row>
    <row r="254" ht="15.75" customHeight="1">
      <c r="E254" s="118"/>
    </row>
    <row r="255" ht="15.75" customHeight="1">
      <c r="E255" s="118"/>
    </row>
    <row r="256" ht="15.75" customHeight="1">
      <c r="E256" s="118"/>
    </row>
    <row r="257" ht="15.75" customHeight="1">
      <c r="E257" s="118"/>
    </row>
    <row r="258" ht="15.75" customHeight="1">
      <c r="E258" s="118"/>
    </row>
    <row r="259" ht="15.75" customHeight="1">
      <c r="E259" s="118"/>
    </row>
    <row r="260" ht="15.75" customHeight="1">
      <c r="E260" s="118"/>
    </row>
    <row r="261" ht="15.75" customHeight="1">
      <c r="E261" s="118"/>
    </row>
    <row r="262" ht="15.75" customHeight="1">
      <c r="E262" s="118"/>
    </row>
    <row r="263" ht="15.75" customHeight="1">
      <c r="E263" s="118"/>
    </row>
    <row r="264" ht="15.75" customHeight="1">
      <c r="E264" s="118"/>
    </row>
    <row r="265" ht="15.75" customHeight="1">
      <c r="E265" s="118"/>
    </row>
    <row r="266" ht="15.75" customHeight="1">
      <c r="E266" s="118"/>
    </row>
    <row r="267" ht="15.75" customHeight="1">
      <c r="E267" s="118"/>
    </row>
    <row r="268" ht="15.75" customHeight="1">
      <c r="E268" s="118"/>
    </row>
    <row r="269" ht="15.75" customHeight="1">
      <c r="E269" s="118"/>
    </row>
    <row r="270" ht="15.75" customHeight="1">
      <c r="E270" s="118"/>
    </row>
    <row r="271" ht="15.75" customHeight="1">
      <c r="E271" s="118"/>
    </row>
    <row r="272" ht="15.75" customHeight="1">
      <c r="E272" s="118"/>
    </row>
    <row r="273" ht="15.75" customHeight="1">
      <c r="E273" s="118"/>
    </row>
    <row r="274" ht="15.75" customHeight="1">
      <c r="E274" s="118"/>
    </row>
    <row r="275" ht="15.75" customHeight="1">
      <c r="E275" s="118"/>
    </row>
    <row r="276" ht="15.75" customHeight="1">
      <c r="E276" s="118"/>
    </row>
    <row r="277" ht="15.75" customHeight="1">
      <c r="E277" s="118"/>
    </row>
    <row r="278" ht="15.75" customHeight="1">
      <c r="E278" s="118"/>
    </row>
    <row r="279" ht="15.75" customHeight="1">
      <c r="E279" s="118"/>
    </row>
    <row r="280" ht="15.75" customHeight="1">
      <c r="E280" s="118"/>
    </row>
    <row r="281" ht="15.75" customHeight="1">
      <c r="E281" s="118"/>
    </row>
    <row r="282" ht="15.75" customHeight="1">
      <c r="E282" s="118"/>
    </row>
    <row r="283" ht="15.75" customHeight="1">
      <c r="E283" s="118"/>
    </row>
    <row r="284" ht="15.75" customHeight="1">
      <c r="E284" s="118"/>
    </row>
    <row r="285" ht="15.75" customHeight="1">
      <c r="E285" s="118"/>
    </row>
    <row r="286" ht="15.75" customHeight="1">
      <c r="E286" s="118"/>
    </row>
    <row r="287" ht="15.75" customHeight="1">
      <c r="E287" s="118"/>
    </row>
    <row r="288" ht="15.75" customHeight="1">
      <c r="E288" s="118"/>
    </row>
    <row r="289" ht="15.75" customHeight="1">
      <c r="E289" s="118"/>
    </row>
    <row r="290" ht="15.75" customHeight="1">
      <c r="E290" s="118"/>
    </row>
    <row r="291" ht="15.75" customHeight="1">
      <c r="E291" s="118"/>
    </row>
    <row r="292" ht="15.75" customHeight="1">
      <c r="E292" s="118"/>
    </row>
    <row r="293" ht="15.75" customHeight="1">
      <c r="E293" s="118"/>
    </row>
    <row r="294" ht="15.75" customHeight="1">
      <c r="E294" s="118"/>
    </row>
    <row r="295" ht="15.75" customHeight="1">
      <c r="E295" s="118"/>
    </row>
    <row r="296" ht="15.75" customHeight="1">
      <c r="E296" s="118"/>
    </row>
    <row r="297" ht="15.75" customHeight="1">
      <c r="E297" s="118"/>
    </row>
    <row r="298" ht="15.75" customHeight="1">
      <c r="E298" s="118"/>
    </row>
    <row r="299" ht="15.75" customHeight="1">
      <c r="E299" s="118"/>
    </row>
    <row r="300" ht="15.75" customHeight="1">
      <c r="E300" s="118"/>
    </row>
    <row r="301" ht="15.75" customHeight="1">
      <c r="E301" s="118"/>
    </row>
    <row r="302" ht="15.75" customHeight="1">
      <c r="E302" s="118"/>
    </row>
    <row r="303" ht="15.75" customHeight="1">
      <c r="E303" s="118"/>
    </row>
    <row r="304" ht="15.75" customHeight="1">
      <c r="E304" s="118"/>
    </row>
    <row r="305" ht="15.75" customHeight="1">
      <c r="E305" s="118"/>
    </row>
    <row r="306" ht="15.75" customHeight="1">
      <c r="E306" s="118"/>
    </row>
    <row r="307" ht="15.75" customHeight="1">
      <c r="E307" s="118"/>
    </row>
    <row r="308" ht="15.75" customHeight="1">
      <c r="E308" s="118"/>
    </row>
    <row r="309" ht="15.75" customHeight="1">
      <c r="E309" s="118"/>
    </row>
    <row r="310" ht="15.75" customHeight="1">
      <c r="E310" s="118"/>
    </row>
    <row r="311" ht="15.75" customHeight="1">
      <c r="E311" s="118"/>
    </row>
    <row r="312" ht="15.75" customHeight="1">
      <c r="E312" s="118"/>
    </row>
    <row r="313" ht="15.75" customHeight="1">
      <c r="E313" s="118"/>
    </row>
    <row r="314" ht="15.75" customHeight="1">
      <c r="E314" s="118"/>
    </row>
    <row r="315" ht="15.75" customHeight="1">
      <c r="E315" s="118"/>
    </row>
    <row r="316" ht="15.75" customHeight="1">
      <c r="E316" s="118"/>
    </row>
    <row r="317" ht="15.75" customHeight="1">
      <c r="E317" s="118"/>
    </row>
    <row r="318" ht="15.75" customHeight="1">
      <c r="E318" s="118"/>
    </row>
    <row r="319" ht="15.75" customHeight="1">
      <c r="E319" s="118"/>
    </row>
    <row r="320" ht="15.75" customHeight="1">
      <c r="E320" s="118"/>
    </row>
    <row r="321" ht="15.75" customHeight="1">
      <c r="E321" s="118"/>
    </row>
    <row r="322" ht="15.75" customHeight="1">
      <c r="E322" s="118"/>
    </row>
    <row r="323" ht="15.75" customHeight="1">
      <c r="E323" s="118"/>
    </row>
    <row r="324" ht="15.75" customHeight="1">
      <c r="E324" s="118"/>
    </row>
    <row r="325" ht="15.75" customHeight="1">
      <c r="E325" s="118"/>
    </row>
    <row r="326" ht="15.75" customHeight="1">
      <c r="E326" s="118"/>
    </row>
    <row r="327" ht="15.75" customHeight="1">
      <c r="E327" s="118"/>
    </row>
    <row r="328" ht="15.75" customHeight="1">
      <c r="E328" s="118"/>
    </row>
    <row r="329" ht="15.75" customHeight="1">
      <c r="E329" s="118"/>
    </row>
    <row r="330" ht="15.75" customHeight="1">
      <c r="E330" s="118"/>
    </row>
    <row r="331" ht="15.75" customHeight="1">
      <c r="E331" s="118"/>
    </row>
    <row r="332" ht="15.75" customHeight="1">
      <c r="E332" s="118"/>
    </row>
    <row r="333" ht="15.75" customHeight="1">
      <c r="E333" s="118"/>
    </row>
    <row r="334" ht="15.75" customHeight="1">
      <c r="E334" s="118"/>
    </row>
    <row r="335" ht="15.75" customHeight="1">
      <c r="E335" s="118"/>
    </row>
    <row r="336" ht="15.75" customHeight="1">
      <c r="E336" s="118"/>
    </row>
    <row r="337" ht="15.75" customHeight="1">
      <c r="E337" s="118"/>
    </row>
    <row r="338" ht="15.75" customHeight="1">
      <c r="E338" s="118"/>
    </row>
    <row r="339" ht="15.75" customHeight="1">
      <c r="E339" s="118"/>
    </row>
    <row r="340" ht="15.75" customHeight="1">
      <c r="E340" s="118"/>
    </row>
    <row r="341" ht="15.75" customHeight="1">
      <c r="E341" s="118"/>
    </row>
    <row r="342" ht="15.75" customHeight="1">
      <c r="E342" s="118"/>
    </row>
    <row r="343" ht="15.75" customHeight="1">
      <c r="E343" s="118"/>
    </row>
    <row r="344" ht="15.75" customHeight="1">
      <c r="E344" s="118"/>
    </row>
    <row r="345" ht="15.75" customHeight="1">
      <c r="E345" s="118"/>
    </row>
    <row r="346" ht="15.75" customHeight="1">
      <c r="E346" s="118"/>
    </row>
    <row r="347" ht="15.75" customHeight="1">
      <c r="E347" s="118"/>
    </row>
    <row r="348" ht="15.75" customHeight="1">
      <c r="E348" s="118"/>
    </row>
    <row r="349" ht="15.75" customHeight="1">
      <c r="E349" s="118"/>
    </row>
    <row r="350" ht="15.75" customHeight="1">
      <c r="E350" s="118"/>
    </row>
    <row r="351" ht="15.75" customHeight="1">
      <c r="E351" s="118"/>
    </row>
    <row r="352" ht="15.75" customHeight="1">
      <c r="E352" s="118"/>
    </row>
    <row r="353" ht="15.75" customHeight="1">
      <c r="E353" s="118"/>
    </row>
    <row r="354" ht="15.75" customHeight="1">
      <c r="E354" s="118"/>
    </row>
    <row r="355" ht="15.75" customHeight="1">
      <c r="E355" s="118"/>
    </row>
    <row r="356" ht="15.75" customHeight="1">
      <c r="E356" s="118"/>
    </row>
    <row r="357" ht="15.75" customHeight="1">
      <c r="E357" s="118"/>
    </row>
    <row r="358" ht="15.75" customHeight="1">
      <c r="E358" s="118"/>
    </row>
    <row r="359" ht="15.75" customHeight="1">
      <c r="E359" s="118"/>
    </row>
    <row r="360" ht="15.75" customHeight="1">
      <c r="E360" s="118"/>
    </row>
    <row r="361" ht="15.75" customHeight="1">
      <c r="E361" s="118"/>
    </row>
    <row r="362" ht="15.75" customHeight="1">
      <c r="E362" s="118"/>
    </row>
    <row r="363" ht="15.75" customHeight="1">
      <c r="E363" s="118"/>
    </row>
    <row r="364" ht="15.75" customHeight="1">
      <c r="E364" s="118"/>
    </row>
    <row r="365" ht="15.75" customHeight="1">
      <c r="E365" s="118"/>
    </row>
    <row r="366" ht="15.75" customHeight="1">
      <c r="E366" s="118"/>
    </row>
    <row r="367" ht="15.75" customHeight="1">
      <c r="E367" s="118"/>
    </row>
    <row r="368" ht="15.75" customHeight="1">
      <c r="E368" s="118"/>
    </row>
    <row r="369" ht="15.75" customHeight="1">
      <c r="E369" s="118"/>
    </row>
    <row r="370" ht="15.75" customHeight="1">
      <c r="E370" s="118"/>
    </row>
    <row r="371" ht="15.75" customHeight="1">
      <c r="E371" s="118"/>
    </row>
    <row r="372" ht="15.75" customHeight="1">
      <c r="E372" s="118"/>
    </row>
    <row r="373" ht="15.75" customHeight="1">
      <c r="E373" s="118"/>
    </row>
    <row r="374" ht="15.75" customHeight="1">
      <c r="E374" s="118"/>
    </row>
    <row r="375" ht="15.75" customHeight="1">
      <c r="E375" s="118"/>
    </row>
    <row r="376" ht="15.75" customHeight="1">
      <c r="E376" s="118"/>
    </row>
    <row r="377" ht="15.75" customHeight="1">
      <c r="E377" s="118"/>
    </row>
    <row r="378" ht="15.75" customHeight="1">
      <c r="E378" s="118"/>
    </row>
    <row r="379" ht="15.75" customHeight="1">
      <c r="E379" s="118"/>
    </row>
    <row r="380" ht="15.75" customHeight="1">
      <c r="E380" s="118"/>
    </row>
    <row r="381" ht="15.75" customHeight="1">
      <c r="E381" s="118"/>
    </row>
    <row r="382" ht="15.75" customHeight="1">
      <c r="E382" s="118"/>
    </row>
    <row r="383" ht="15.75" customHeight="1">
      <c r="E383" s="118"/>
    </row>
    <row r="384" ht="15.75" customHeight="1">
      <c r="E384" s="118"/>
    </row>
    <row r="385" ht="15.75" customHeight="1">
      <c r="E385" s="118"/>
    </row>
    <row r="386" ht="15.75" customHeight="1">
      <c r="E386" s="118"/>
    </row>
    <row r="387" ht="15.75" customHeight="1">
      <c r="E387" s="118"/>
    </row>
    <row r="388" ht="15.75" customHeight="1">
      <c r="E388" s="118"/>
    </row>
    <row r="389" ht="15.75" customHeight="1">
      <c r="E389" s="118"/>
    </row>
    <row r="390" ht="15.75" customHeight="1">
      <c r="E390" s="118"/>
    </row>
    <row r="391" ht="15.75" customHeight="1">
      <c r="E391" s="118"/>
    </row>
    <row r="392" ht="15.75" customHeight="1">
      <c r="E392" s="118"/>
    </row>
    <row r="393" ht="15.75" customHeight="1">
      <c r="E393" s="118"/>
    </row>
    <row r="394" ht="15.75" customHeight="1">
      <c r="E394" s="118"/>
    </row>
    <row r="395" ht="15.75" customHeight="1">
      <c r="E395" s="118"/>
    </row>
    <row r="396" ht="15.75" customHeight="1">
      <c r="E396" s="118"/>
    </row>
    <row r="397" ht="15.75" customHeight="1">
      <c r="E397" s="118"/>
    </row>
    <row r="398" ht="15.75" customHeight="1">
      <c r="E398" s="118"/>
    </row>
    <row r="399" ht="15.75" customHeight="1">
      <c r="E399" s="118"/>
    </row>
    <row r="400" ht="15.75" customHeight="1">
      <c r="E400" s="118"/>
    </row>
    <row r="401" ht="15.75" customHeight="1">
      <c r="E401" s="118"/>
    </row>
    <row r="402" ht="15.75" customHeight="1">
      <c r="E402" s="118"/>
    </row>
    <row r="403" ht="15.75" customHeight="1">
      <c r="E403" s="118"/>
    </row>
    <row r="404" ht="15.75" customHeight="1">
      <c r="E404" s="118"/>
    </row>
    <row r="405" ht="15.75" customHeight="1">
      <c r="E405" s="118"/>
    </row>
    <row r="406" ht="15.75" customHeight="1">
      <c r="E406" s="118"/>
    </row>
    <row r="407" ht="15.75" customHeight="1">
      <c r="E407" s="118"/>
    </row>
    <row r="408" ht="15.75" customHeight="1">
      <c r="E408" s="118"/>
    </row>
    <row r="409" ht="15.75" customHeight="1">
      <c r="E409" s="118"/>
    </row>
    <row r="410" ht="15.75" customHeight="1">
      <c r="E410" s="118"/>
    </row>
    <row r="411" ht="15.75" customHeight="1">
      <c r="E411" s="118"/>
    </row>
    <row r="412" ht="15.75" customHeight="1">
      <c r="E412" s="118"/>
    </row>
    <row r="413" ht="15.75" customHeight="1">
      <c r="E413" s="118"/>
    </row>
    <row r="414" ht="15.75" customHeight="1">
      <c r="E414" s="118"/>
    </row>
    <row r="415" ht="15.75" customHeight="1">
      <c r="E415" s="118"/>
    </row>
    <row r="416" ht="15.75" customHeight="1">
      <c r="E416" s="118"/>
    </row>
    <row r="417" ht="15.75" customHeight="1">
      <c r="E417" s="118"/>
    </row>
    <row r="418" ht="15.75" customHeight="1">
      <c r="E418" s="118"/>
    </row>
    <row r="419" ht="15.75" customHeight="1">
      <c r="E419" s="118"/>
    </row>
    <row r="420" ht="15.75" customHeight="1">
      <c r="E420" s="118"/>
    </row>
    <row r="421" ht="15.75" customHeight="1">
      <c r="E421" s="118"/>
    </row>
    <row r="422" ht="15.75" customHeight="1">
      <c r="E422" s="118"/>
    </row>
    <row r="423" ht="15.75" customHeight="1">
      <c r="E423" s="118"/>
    </row>
    <row r="424" ht="15.75" customHeight="1">
      <c r="E424" s="118"/>
    </row>
    <row r="425" ht="15.75" customHeight="1">
      <c r="E425" s="118"/>
    </row>
    <row r="426" ht="15.75" customHeight="1">
      <c r="E426" s="118"/>
    </row>
    <row r="427" ht="15.75" customHeight="1">
      <c r="E427" s="118"/>
    </row>
    <row r="428" ht="15.75" customHeight="1">
      <c r="E428" s="118"/>
    </row>
    <row r="429" ht="15.75" customHeight="1">
      <c r="E429" s="118"/>
    </row>
    <row r="430" ht="15.75" customHeight="1">
      <c r="E430" s="118"/>
    </row>
    <row r="431" ht="15.75" customHeight="1">
      <c r="E431" s="118"/>
    </row>
    <row r="432" ht="15.75" customHeight="1">
      <c r="E432" s="118"/>
    </row>
    <row r="433" ht="15.75" customHeight="1">
      <c r="E433" s="118"/>
    </row>
    <row r="434" ht="15.75" customHeight="1">
      <c r="E434" s="118"/>
    </row>
    <row r="435" ht="15.75" customHeight="1">
      <c r="E435" s="118"/>
    </row>
    <row r="436" ht="15.75" customHeight="1">
      <c r="E436" s="118"/>
    </row>
    <row r="437" ht="15.75" customHeight="1">
      <c r="E437" s="118"/>
    </row>
    <row r="438" ht="15.75" customHeight="1">
      <c r="E438" s="118"/>
    </row>
    <row r="439" ht="15.75" customHeight="1">
      <c r="E439" s="118"/>
    </row>
    <row r="440" ht="15.75" customHeight="1">
      <c r="E440" s="118"/>
    </row>
    <row r="441" ht="15.75" customHeight="1">
      <c r="E441" s="118"/>
    </row>
    <row r="442" ht="15.75" customHeight="1">
      <c r="E442" s="118"/>
    </row>
    <row r="443" ht="15.75" customHeight="1">
      <c r="E443" s="118"/>
    </row>
    <row r="444" ht="15.75" customHeight="1">
      <c r="E444" s="118"/>
    </row>
    <row r="445" ht="15.75" customHeight="1">
      <c r="E445" s="118"/>
    </row>
    <row r="446" ht="15.75" customHeight="1">
      <c r="E446" s="118"/>
    </row>
    <row r="447" ht="15.75" customHeight="1">
      <c r="E447" s="118"/>
    </row>
    <row r="448" ht="15.75" customHeight="1">
      <c r="E448" s="118"/>
    </row>
    <row r="449" ht="15.75" customHeight="1">
      <c r="E449" s="118"/>
    </row>
    <row r="450" ht="15.75" customHeight="1">
      <c r="E450" s="118"/>
    </row>
    <row r="451" ht="15.75" customHeight="1">
      <c r="E451" s="118"/>
    </row>
    <row r="452" ht="15.75" customHeight="1">
      <c r="E452" s="118"/>
    </row>
    <row r="453" ht="15.75" customHeight="1">
      <c r="E453" s="118"/>
    </row>
    <row r="454" ht="15.75" customHeight="1">
      <c r="E454" s="118"/>
    </row>
    <row r="455" ht="15.75" customHeight="1">
      <c r="E455" s="118"/>
    </row>
    <row r="456" ht="15.75" customHeight="1">
      <c r="E456" s="118"/>
    </row>
    <row r="457" ht="15.75" customHeight="1">
      <c r="E457" s="118"/>
    </row>
    <row r="458" ht="15.75" customHeight="1">
      <c r="E458" s="118"/>
    </row>
    <row r="459" ht="15.75" customHeight="1">
      <c r="E459" s="118"/>
    </row>
    <row r="460" ht="15.75" customHeight="1">
      <c r="E460" s="118"/>
    </row>
    <row r="461" ht="15.75" customHeight="1">
      <c r="E461" s="118"/>
    </row>
    <row r="462" ht="15.75" customHeight="1">
      <c r="E462" s="118"/>
    </row>
    <row r="463" ht="15.75" customHeight="1">
      <c r="E463" s="118"/>
    </row>
    <row r="464" ht="15.75" customHeight="1">
      <c r="E464" s="118"/>
    </row>
    <row r="465" ht="15.75" customHeight="1">
      <c r="E465" s="118"/>
    </row>
    <row r="466" ht="15.75" customHeight="1">
      <c r="E466" s="118"/>
    </row>
    <row r="467" ht="15.75" customHeight="1">
      <c r="E467" s="118"/>
    </row>
    <row r="468" ht="15.75" customHeight="1">
      <c r="E468" s="118"/>
    </row>
    <row r="469" ht="15.75" customHeight="1">
      <c r="E469" s="118"/>
    </row>
    <row r="470" ht="15.75" customHeight="1">
      <c r="E470" s="118"/>
    </row>
    <row r="471" ht="15.75" customHeight="1">
      <c r="E471" s="118"/>
    </row>
    <row r="472" ht="15.75" customHeight="1">
      <c r="E472" s="118"/>
    </row>
    <row r="473" ht="15.75" customHeight="1">
      <c r="E473" s="118"/>
    </row>
    <row r="474" ht="15.75" customHeight="1">
      <c r="E474" s="118"/>
    </row>
    <row r="475" ht="15.75" customHeight="1">
      <c r="E475" s="118"/>
    </row>
    <row r="476" ht="15.75" customHeight="1">
      <c r="E476" s="118"/>
    </row>
    <row r="477" ht="15.75" customHeight="1">
      <c r="E477" s="118"/>
    </row>
    <row r="478" ht="15.75" customHeight="1">
      <c r="E478" s="118"/>
    </row>
    <row r="479" ht="15.75" customHeight="1">
      <c r="E479" s="118"/>
    </row>
    <row r="480" ht="15.75" customHeight="1">
      <c r="E480" s="118"/>
    </row>
    <row r="481" ht="15.75" customHeight="1">
      <c r="E481" s="118"/>
    </row>
    <row r="482" ht="15.75" customHeight="1">
      <c r="E482" s="118"/>
    </row>
    <row r="483" ht="15.75" customHeight="1">
      <c r="E483" s="118"/>
    </row>
    <row r="484" ht="15.75" customHeight="1">
      <c r="E484" s="118"/>
    </row>
    <row r="485" ht="15.75" customHeight="1">
      <c r="E485" s="118"/>
    </row>
    <row r="486" ht="15.75" customHeight="1">
      <c r="E486" s="118"/>
    </row>
    <row r="487" ht="15.75" customHeight="1">
      <c r="E487" s="118"/>
    </row>
    <row r="488" ht="15.75" customHeight="1">
      <c r="E488" s="118"/>
    </row>
    <row r="489" ht="15.75" customHeight="1">
      <c r="E489" s="118"/>
    </row>
    <row r="490" ht="15.75" customHeight="1">
      <c r="E490" s="118"/>
    </row>
    <row r="491" ht="15.75" customHeight="1">
      <c r="E491" s="118"/>
    </row>
    <row r="492" ht="15.75" customHeight="1">
      <c r="E492" s="118"/>
    </row>
    <row r="493" ht="15.75" customHeight="1">
      <c r="E493" s="118"/>
    </row>
    <row r="494" ht="15.75" customHeight="1">
      <c r="E494" s="118"/>
    </row>
    <row r="495" ht="15.75" customHeight="1">
      <c r="E495" s="118"/>
    </row>
    <row r="496" ht="15.75" customHeight="1">
      <c r="E496" s="118"/>
    </row>
    <row r="497" ht="15.75" customHeight="1">
      <c r="E497" s="118"/>
    </row>
    <row r="498" ht="15.75" customHeight="1">
      <c r="E498" s="118"/>
    </row>
    <row r="499" ht="15.75" customHeight="1">
      <c r="E499" s="118"/>
    </row>
    <row r="500" ht="15.75" customHeight="1">
      <c r="E500" s="118"/>
    </row>
    <row r="501" ht="15.75" customHeight="1">
      <c r="E501" s="118"/>
    </row>
    <row r="502" ht="15.75" customHeight="1">
      <c r="E502" s="118"/>
    </row>
    <row r="503" ht="15.75" customHeight="1">
      <c r="E503" s="118"/>
    </row>
    <row r="504" ht="15.75" customHeight="1">
      <c r="E504" s="118"/>
    </row>
    <row r="505" ht="15.75" customHeight="1">
      <c r="E505" s="118"/>
    </row>
    <row r="506" ht="15.75" customHeight="1">
      <c r="E506" s="118"/>
    </row>
    <row r="507" ht="15.75" customHeight="1">
      <c r="E507" s="118"/>
    </row>
    <row r="508" ht="15.75" customHeight="1">
      <c r="E508" s="118"/>
    </row>
    <row r="509" ht="15.75" customHeight="1">
      <c r="E509" s="118"/>
    </row>
    <row r="510" ht="15.75" customHeight="1">
      <c r="E510" s="118"/>
    </row>
    <row r="511" ht="15.75" customHeight="1">
      <c r="E511" s="118"/>
    </row>
    <row r="512" ht="15.75" customHeight="1">
      <c r="E512" s="118"/>
    </row>
    <row r="513" ht="15.75" customHeight="1">
      <c r="E513" s="118"/>
    </row>
    <row r="514" ht="15.75" customHeight="1">
      <c r="E514" s="118"/>
    </row>
    <row r="515" ht="15.75" customHeight="1">
      <c r="E515" s="118"/>
    </row>
    <row r="516" ht="15.75" customHeight="1">
      <c r="E516" s="118"/>
    </row>
    <row r="517" ht="15.75" customHeight="1">
      <c r="E517" s="118"/>
    </row>
    <row r="518" ht="15.75" customHeight="1">
      <c r="E518" s="118"/>
    </row>
    <row r="519" ht="15.75" customHeight="1">
      <c r="E519" s="118"/>
    </row>
    <row r="520" ht="15.75" customHeight="1">
      <c r="E520" s="118"/>
    </row>
    <row r="521" ht="15.75" customHeight="1">
      <c r="E521" s="118"/>
    </row>
    <row r="522" ht="15.75" customHeight="1">
      <c r="E522" s="118"/>
    </row>
    <row r="523" ht="15.75" customHeight="1">
      <c r="E523" s="118"/>
    </row>
    <row r="524" ht="15.75" customHeight="1">
      <c r="E524" s="118"/>
    </row>
    <row r="525" ht="15.75" customHeight="1">
      <c r="E525" s="118"/>
    </row>
    <row r="526" ht="15.75" customHeight="1">
      <c r="E526" s="118"/>
    </row>
    <row r="527" ht="15.75" customHeight="1">
      <c r="E527" s="118"/>
    </row>
    <row r="528" ht="15.75" customHeight="1">
      <c r="E528" s="118"/>
    </row>
    <row r="529" ht="15.75" customHeight="1">
      <c r="E529" s="118"/>
    </row>
    <row r="530" ht="15.75" customHeight="1">
      <c r="E530" s="118"/>
    </row>
    <row r="531" ht="15.75" customHeight="1">
      <c r="E531" s="118"/>
    </row>
    <row r="532" ht="15.75" customHeight="1">
      <c r="E532" s="118"/>
    </row>
    <row r="533" ht="15.75" customHeight="1">
      <c r="E533" s="118"/>
    </row>
    <row r="534" ht="15.75" customHeight="1">
      <c r="E534" s="118"/>
    </row>
    <row r="535" ht="15.75" customHeight="1">
      <c r="E535" s="118"/>
    </row>
    <row r="536" ht="15.75" customHeight="1">
      <c r="E536" s="118"/>
    </row>
    <row r="537" ht="15.75" customHeight="1">
      <c r="E537" s="118"/>
    </row>
    <row r="538" ht="15.75" customHeight="1">
      <c r="E538" s="118"/>
    </row>
    <row r="539" ht="15.75" customHeight="1">
      <c r="E539" s="118"/>
    </row>
    <row r="540" ht="15.75" customHeight="1">
      <c r="E540" s="118"/>
    </row>
    <row r="541" ht="15.75" customHeight="1">
      <c r="E541" s="118"/>
    </row>
    <row r="542" ht="15.75" customHeight="1">
      <c r="E542" s="118"/>
    </row>
    <row r="543" ht="15.75" customHeight="1">
      <c r="E543" s="118"/>
    </row>
    <row r="544" ht="15.75" customHeight="1">
      <c r="E544" s="118"/>
    </row>
    <row r="545" ht="15.75" customHeight="1">
      <c r="E545" s="118"/>
    </row>
    <row r="546" ht="15.75" customHeight="1">
      <c r="E546" s="118"/>
    </row>
    <row r="547" ht="15.75" customHeight="1">
      <c r="E547" s="118"/>
    </row>
    <row r="548" ht="15.75" customHeight="1">
      <c r="E548" s="118"/>
    </row>
    <row r="549" ht="15.75" customHeight="1">
      <c r="E549" s="118"/>
    </row>
    <row r="550" ht="15.75" customHeight="1">
      <c r="E550" s="118"/>
    </row>
    <row r="551" ht="15.75" customHeight="1">
      <c r="E551" s="118"/>
    </row>
    <row r="552" ht="15.75" customHeight="1">
      <c r="E552" s="118"/>
    </row>
    <row r="553" ht="15.75" customHeight="1">
      <c r="E553" s="118"/>
    </row>
    <row r="554" ht="15.75" customHeight="1">
      <c r="E554" s="118"/>
    </row>
    <row r="555" ht="15.75" customHeight="1">
      <c r="E555" s="118"/>
    </row>
    <row r="556" ht="15.75" customHeight="1">
      <c r="E556" s="118"/>
    </row>
    <row r="557" ht="15.75" customHeight="1">
      <c r="E557" s="118"/>
    </row>
    <row r="558" ht="15.75" customHeight="1">
      <c r="E558" s="118"/>
    </row>
    <row r="559" ht="15.75" customHeight="1">
      <c r="E559" s="118"/>
    </row>
    <row r="560" ht="15.75" customHeight="1">
      <c r="E560" s="118"/>
    </row>
    <row r="561" ht="15.75" customHeight="1">
      <c r="E561" s="118"/>
    </row>
    <row r="562" ht="15.75" customHeight="1">
      <c r="E562" s="118"/>
    </row>
    <row r="563" ht="15.75" customHeight="1">
      <c r="E563" s="118"/>
    </row>
    <row r="564" ht="15.75" customHeight="1">
      <c r="E564" s="118"/>
    </row>
    <row r="565" ht="15.75" customHeight="1">
      <c r="E565" s="118"/>
    </row>
    <row r="566" ht="15.75" customHeight="1">
      <c r="E566" s="118"/>
    </row>
    <row r="567" ht="15.75" customHeight="1">
      <c r="E567" s="118"/>
    </row>
    <row r="568" ht="15.75" customHeight="1">
      <c r="E568" s="118"/>
    </row>
    <row r="569" ht="15.75" customHeight="1">
      <c r="E569" s="118"/>
    </row>
    <row r="570" ht="15.75" customHeight="1">
      <c r="E570" s="118"/>
    </row>
    <row r="571" ht="15.75" customHeight="1">
      <c r="E571" s="118"/>
    </row>
    <row r="572" ht="15.75" customHeight="1">
      <c r="E572" s="118"/>
    </row>
    <row r="573" ht="15.75" customHeight="1">
      <c r="E573" s="118"/>
    </row>
    <row r="574" ht="15.75" customHeight="1">
      <c r="E574" s="118"/>
    </row>
    <row r="575" ht="15.75" customHeight="1">
      <c r="E575" s="118"/>
    </row>
    <row r="576" ht="15.75" customHeight="1">
      <c r="E576" s="118"/>
    </row>
    <row r="577" ht="15.75" customHeight="1">
      <c r="E577" s="118"/>
    </row>
    <row r="578" ht="15.75" customHeight="1">
      <c r="E578" s="118"/>
    </row>
    <row r="579" ht="15.75" customHeight="1">
      <c r="E579" s="118"/>
    </row>
    <row r="580" ht="15.75" customHeight="1">
      <c r="E580" s="118"/>
    </row>
    <row r="581" ht="15.75" customHeight="1">
      <c r="E581" s="118"/>
    </row>
    <row r="582" ht="15.75" customHeight="1">
      <c r="E582" s="118"/>
    </row>
    <row r="583" ht="15.75" customHeight="1">
      <c r="E583" s="118"/>
    </row>
    <row r="584" ht="15.75" customHeight="1">
      <c r="E584" s="118"/>
    </row>
    <row r="585" ht="15.75" customHeight="1">
      <c r="E585" s="118"/>
    </row>
    <row r="586" ht="15.75" customHeight="1">
      <c r="E586" s="118"/>
    </row>
    <row r="587" ht="15.75" customHeight="1">
      <c r="E587" s="118"/>
    </row>
    <row r="588" ht="15.75" customHeight="1">
      <c r="E588" s="118"/>
    </row>
    <row r="589" ht="15.75" customHeight="1">
      <c r="E589" s="118"/>
    </row>
    <row r="590" ht="15.75" customHeight="1">
      <c r="E590" s="118"/>
    </row>
    <row r="591" ht="15.75" customHeight="1">
      <c r="E591" s="118"/>
    </row>
    <row r="592" ht="15.75" customHeight="1">
      <c r="E592" s="118"/>
    </row>
    <row r="593" ht="15.75" customHeight="1">
      <c r="E593" s="118"/>
    </row>
    <row r="594" ht="15.75" customHeight="1">
      <c r="E594" s="118"/>
    </row>
    <row r="595" ht="15.75" customHeight="1">
      <c r="E595" s="118"/>
    </row>
    <row r="596" ht="15.75" customHeight="1">
      <c r="E596" s="118"/>
    </row>
    <row r="597" ht="15.75" customHeight="1">
      <c r="E597" s="118"/>
    </row>
    <row r="598" ht="15.75" customHeight="1">
      <c r="E598" s="118"/>
    </row>
    <row r="599" ht="15.75" customHeight="1">
      <c r="E599" s="118"/>
    </row>
    <row r="600" ht="15.75" customHeight="1">
      <c r="E600" s="118"/>
    </row>
    <row r="601" ht="15.75" customHeight="1">
      <c r="E601" s="118"/>
    </row>
    <row r="602" ht="15.75" customHeight="1">
      <c r="E602" s="118"/>
    </row>
    <row r="603" ht="15.75" customHeight="1">
      <c r="E603" s="118"/>
    </row>
    <row r="604" ht="15.75" customHeight="1">
      <c r="E604" s="118"/>
    </row>
    <row r="605" ht="15.75" customHeight="1">
      <c r="E605" s="118"/>
    </row>
    <row r="606" ht="15.75" customHeight="1">
      <c r="E606" s="118"/>
    </row>
    <row r="607" ht="15.75" customHeight="1">
      <c r="E607" s="118"/>
    </row>
    <row r="608" ht="15.75" customHeight="1">
      <c r="E608" s="118"/>
    </row>
    <row r="609" ht="15.75" customHeight="1">
      <c r="E609" s="118"/>
    </row>
    <row r="610" ht="15.75" customHeight="1">
      <c r="E610" s="118"/>
    </row>
    <row r="611" ht="15.75" customHeight="1">
      <c r="E611" s="118"/>
    </row>
    <row r="612" ht="15.75" customHeight="1">
      <c r="E612" s="118"/>
    </row>
    <row r="613" ht="15.75" customHeight="1">
      <c r="E613" s="118"/>
    </row>
    <row r="614" ht="15.75" customHeight="1">
      <c r="E614" s="118"/>
    </row>
    <row r="615" ht="15.75" customHeight="1">
      <c r="E615" s="118"/>
    </row>
    <row r="616" ht="15.75" customHeight="1">
      <c r="E616" s="118"/>
    </row>
    <row r="617" ht="15.75" customHeight="1">
      <c r="E617" s="118"/>
    </row>
    <row r="618" ht="15.75" customHeight="1">
      <c r="E618" s="118"/>
    </row>
    <row r="619" ht="15.75" customHeight="1">
      <c r="E619" s="118"/>
    </row>
    <row r="620" ht="15.75" customHeight="1">
      <c r="E620" s="118"/>
    </row>
    <row r="621" ht="15.75" customHeight="1">
      <c r="E621" s="118"/>
    </row>
    <row r="622" ht="15.75" customHeight="1">
      <c r="E622" s="118"/>
    </row>
    <row r="623" ht="15.75" customHeight="1">
      <c r="E623" s="118"/>
    </row>
    <row r="624" ht="15.75" customHeight="1">
      <c r="E624" s="118"/>
    </row>
    <row r="625" ht="15.75" customHeight="1">
      <c r="E625" s="118"/>
    </row>
    <row r="626" ht="15.75" customHeight="1">
      <c r="E626" s="118"/>
    </row>
    <row r="627" ht="15.75" customHeight="1">
      <c r="E627" s="118"/>
    </row>
    <row r="628" ht="15.75" customHeight="1">
      <c r="E628" s="118"/>
    </row>
    <row r="629" ht="15.75" customHeight="1">
      <c r="E629" s="118"/>
    </row>
    <row r="630" ht="15.75" customHeight="1">
      <c r="E630" s="118"/>
    </row>
    <row r="631" ht="15.75" customHeight="1">
      <c r="E631" s="118"/>
    </row>
    <row r="632" ht="15.75" customHeight="1">
      <c r="E632" s="118"/>
    </row>
    <row r="633" ht="15.75" customHeight="1">
      <c r="E633" s="118"/>
    </row>
    <row r="634" ht="15.75" customHeight="1">
      <c r="E634" s="118"/>
    </row>
    <row r="635" ht="15.75" customHeight="1">
      <c r="E635" s="118"/>
    </row>
    <row r="636" ht="15.75" customHeight="1">
      <c r="E636" s="118"/>
    </row>
    <row r="637" ht="15.75" customHeight="1">
      <c r="E637" s="118"/>
    </row>
    <row r="638" ht="15.75" customHeight="1">
      <c r="E638" s="118"/>
    </row>
    <row r="639" ht="15.75" customHeight="1">
      <c r="E639" s="118"/>
    </row>
    <row r="640" ht="15.75" customHeight="1">
      <c r="E640" s="118"/>
    </row>
    <row r="641" ht="15.75" customHeight="1">
      <c r="E641" s="118"/>
    </row>
    <row r="642" ht="15.75" customHeight="1">
      <c r="E642" s="118"/>
    </row>
    <row r="643" ht="15.75" customHeight="1">
      <c r="E643" s="118"/>
    </row>
    <row r="644" ht="15.75" customHeight="1">
      <c r="E644" s="118"/>
    </row>
    <row r="645" ht="15.75" customHeight="1">
      <c r="E645" s="118"/>
    </row>
    <row r="646" ht="15.75" customHeight="1">
      <c r="E646" s="118"/>
    </row>
    <row r="647" ht="15.75" customHeight="1">
      <c r="E647" s="118"/>
    </row>
    <row r="648" ht="15.75" customHeight="1">
      <c r="E648" s="118"/>
    </row>
    <row r="649" ht="15.75" customHeight="1">
      <c r="E649" s="118"/>
    </row>
    <row r="650" ht="15.75" customHeight="1">
      <c r="E650" s="118"/>
    </row>
    <row r="651" ht="15.75" customHeight="1">
      <c r="E651" s="118"/>
    </row>
    <row r="652" ht="15.75" customHeight="1">
      <c r="E652" s="118"/>
    </row>
    <row r="653" ht="15.75" customHeight="1">
      <c r="E653" s="118"/>
    </row>
    <row r="654" ht="15.75" customHeight="1">
      <c r="E654" s="118"/>
    </row>
    <row r="655" ht="15.75" customHeight="1">
      <c r="E655" s="118"/>
    </row>
    <row r="656" ht="15.75" customHeight="1">
      <c r="E656" s="118"/>
    </row>
    <row r="657" ht="15.75" customHeight="1">
      <c r="E657" s="118"/>
    </row>
    <row r="658" ht="15.75" customHeight="1">
      <c r="E658" s="118"/>
    </row>
    <row r="659" ht="15.75" customHeight="1">
      <c r="E659" s="118"/>
    </row>
    <row r="660" ht="15.75" customHeight="1">
      <c r="E660" s="118"/>
    </row>
    <row r="661" ht="15.75" customHeight="1">
      <c r="E661" s="118"/>
    </row>
    <row r="662" ht="15.75" customHeight="1">
      <c r="E662" s="118"/>
    </row>
    <row r="663" ht="15.75" customHeight="1">
      <c r="E663" s="118"/>
    </row>
    <row r="664" ht="15.75" customHeight="1">
      <c r="E664" s="118"/>
    </row>
    <row r="665" ht="15.75" customHeight="1">
      <c r="E665" s="118"/>
    </row>
    <row r="666" ht="15.75" customHeight="1">
      <c r="E666" s="118"/>
    </row>
    <row r="667" ht="15.75" customHeight="1">
      <c r="E667" s="118"/>
    </row>
    <row r="668" ht="15.75" customHeight="1">
      <c r="E668" s="118"/>
    </row>
    <row r="669" ht="15.75" customHeight="1">
      <c r="E669" s="118"/>
    </row>
    <row r="670" ht="15.75" customHeight="1">
      <c r="E670" s="118"/>
    </row>
    <row r="671" ht="15.75" customHeight="1">
      <c r="E671" s="118"/>
    </row>
    <row r="672" ht="15.75" customHeight="1">
      <c r="E672" s="118"/>
    </row>
    <row r="673" ht="15.75" customHeight="1">
      <c r="E673" s="118"/>
    </row>
    <row r="674" ht="15.75" customHeight="1">
      <c r="E674" s="118"/>
    </row>
    <row r="675" ht="15.75" customHeight="1">
      <c r="E675" s="118"/>
    </row>
    <row r="676" ht="15.75" customHeight="1">
      <c r="E676" s="118"/>
    </row>
    <row r="677" ht="15.75" customHeight="1">
      <c r="E677" s="118"/>
    </row>
    <row r="678" ht="15.75" customHeight="1">
      <c r="E678" s="118"/>
    </row>
    <row r="679" ht="15.75" customHeight="1">
      <c r="E679" s="118"/>
    </row>
    <row r="680" ht="15.75" customHeight="1">
      <c r="E680" s="118"/>
    </row>
    <row r="681" ht="15.75" customHeight="1">
      <c r="E681" s="118"/>
    </row>
    <row r="682" ht="15.75" customHeight="1">
      <c r="E682" s="118"/>
    </row>
    <row r="683" ht="15.75" customHeight="1">
      <c r="E683" s="118"/>
    </row>
    <row r="684" ht="15.75" customHeight="1">
      <c r="E684" s="118"/>
    </row>
    <row r="685" ht="15.75" customHeight="1">
      <c r="E685" s="118"/>
    </row>
    <row r="686" ht="15.75" customHeight="1">
      <c r="E686" s="118"/>
    </row>
    <row r="687" ht="15.75" customHeight="1">
      <c r="E687" s="118"/>
    </row>
    <row r="688" ht="15.75" customHeight="1">
      <c r="E688" s="118"/>
    </row>
    <row r="689" ht="15.75" customHeight="1">
      <c r="E689" s="118"/>
    </row>
    <row r="690" ht="15.75" customHeight="1">
      <c r="E690" s="118"/>
    </row>
    <row r="691" ht="15.75" customHeight="1">
      <c r="E691" s="118"/>
    </row>
    <row r="692" ht="15.75" customHeight="1">
      <c r="E692" s="118"/>
    </row>
    <row r="693" ht="15.75" customHeight="1">
      <c r="E693" s="118"/>
    </row>
    <row r="694" ht="15.75" customHeight="1">
      <c r="E694" s="118"/>
    </row>
    <row r="695" ht="15.75" customHeight="1">
      <c r="E695" s="118"/>
    </row>
    <row r="696" ht="15.75" customHeight="1">
      <c r="E696" s="118"/>
    </row>
    <row r="697" ht="15.75" customHeight="1">
      <c r="E697" s="118"/>
    </row>
    <row r="698" ht="15.75" customHeight="1">
      <c r="E698" s="118"/>
    </row>
    <row r="699" ht="15.75" customHeight="1">
      <c r="E699" s="118"/>
    </row>
    <row r="700" ht="15.75" customHeight="1">
      <c r="E700" s="118"/>
    </row>
    <row r="701" ht="15.75" customHeight="1">
      <c r="E701" s="118"/>
    </row>
    <row r="702" ht="15.75" customHeight="1">
      <c r="E702" s="118"/>
    </row>
    <row r="703" ht="15.75" customHeight="1">
      <c r="E703" s="118"/>
    </row>
    <row r="704" ht="15.75" customHeight="1">
      <c r="E704" s="118"/>
    </row>
    <row r="705" ht="15.75" customHeight="1">
      <c r="E705" s="118"/>
    </row>
    <row r="706" ht="15.75" customHeight="1">
      <c r="E706" s="118"/>
    </row>
    <row r="707" ht="15.75" customHeight="1">
      <c r="E707" s="118"/>
    </row>
    <row r="708" ht="15.75" customHeight="1">
      <c r="E708" s="118"/>
    </row>
    <row r="709" ht="15.75" customHeight="1">
      <c r="E709" s="118"/>
    </row>
    <row r="710" ht="15.75" customHeight="1">
      <c r="E710" s="118"/>
    </row>
    <row r="711" ht="15.75" customHeight="1">
      <c r="E711" s="118"/>
    </row>
    <row r="712" ht="15.75" customHeight="1">
      <c r="E712" s="118"/>
    </row>
    <row r="713" ht="15.75" customHeight="1">
      <c r="E713" s="118"/>
    </row>
    <row r="714" ht="15.75" customHeight="1">
      <c r="E714" s="118"/>
    </row>
    <row r="715" ht="15.75" customHeight="1">
      <c r="E715" s="118"/>
    </row>
    <row r="716" ht="15.75" customHeight="1">
      <c r="E716" s="118"/>
    </row>
    <row r="717" ht="15.75" customHeight="1">
      <c r="E717" s="118"/>
    </row>
    <row r="718" ht="15.75" customHeight="1">
      <c r="E718" s="118"/>
    </row>
    <row r="719" ht="15.75" customHeight="1">
      <c r="E719" s="118"/>
    </row>
    <row r="720" ht="15.75" customHeight="1">
      <c r="E720" s="118"/>
    </row>
    <row r="721" ht="15.75" customHeight="1">
      <c r="E721" s="118"/>
    </row>
    <row r="722" ht="15.75" customHeight="1">
      <c r="E722" s="118"/>
    </row>
    <row r="723" ht="15.75" customHeight="1">
      <c r="E723" s="118"/>
    </row>
    <row r="724" ht="15.75" customHeight="1">
      <c r="E724" s="118"/>
    </row>
    <row r="725" ht="15.75" customHeight="1">
      <c r="E725" s="118"/>
    </row>
    <row r="726" ht="15.75" customHeight="1">
      <c r="E726" s="118"/>
    </row>
    <row r="727" ht="15.75" customHeight="1">
      <c r="E727" s="118"/>
    </row>
    <row r="728" ht="15.75" customHeight="1">
      <c r="E728" s="118"/>
    </row>
    <row r="729" ht="15.75" customHeight="1">
      <c r="E729" s="118"/>
    </row>
    <row r="730" ht="15.75" customHeight="1">
      <c r="E730" s="118"/>
    </row>
    <row r="731" ht="15.75" customHeight="1">
      <c r="E731" s="118"/>
    </row>
    <row r="732" ht="15.75" customHeight="1">
      <c r="E732" s="118"/>
    </row>
    <row r="733" ht="15.75" customHeight="1">
      <c r="E733" s="118"/>
    </row>
    <row r="734" ht="15.75" customHeight="1">
      <c r="E734" s="118"/>
    </row>
    <row r="735" ht="15.75" customHeight="1">
      <c r="E735" s="118"/>
    </row>
    <row r="736" ht="15.75" customHeight="1">
      <c r="E736" s="118"/>
    </row>
    <row r="737" ht="15.75" customHeight="1">
      <c r="E737" s="118"/>
    </row>
    <row r="738" ht="15.75" customHeight="1">
      <c r="E738" s="118"/>
    </row>
    <row r="739" ht="15.75" customHeight="1">
      <c r="E739" s="118"/>
    </row>
    <row r="740" ht="15.75" customHeight="1">
      <c r="E740" s="118"/>
    </row>
    <row r="741" ht="15.75" customHeight="1">
      <c r="E741" s="118"/>
    </row>
    <row r="742" ht="15.75" customHeight="1">
      <c r="E742" s="118"/>
    </row>
    <row r="743" ht="15.75" customHeight="1">
      <c r="E743" s="118"/>
    </row>
    <row r="744" ht="15.75" customHeight="1">
      <c r="E744" s="118"/>
    </row>
    <row r="745" ht="15.75" customHeight="1">
      <c r="E745" s="118"/>
    </row>
    <row r="746" ht="15.75" customHeight="1">
      <c r="E746" s="118"/>
    </row>
    <row r="747" ht="15.75" customHeight="1">
      <c r="E747" s="118"/>
    </row>
    <row r="748" ht="15.75" customHeight="1">
      <c r="E748" s="118"/>
    </row>
    <row r="749" ht="15.75" customHeight="1">
      <c r="E749" s="118"/>
    </row>
    <row r="750" ht="15.75" customHeight="1">
      <c r="E750" s="118"/>
    </row>
    <row r="751" ht="15.75" customHeight="1">
      <c r="E751" s="118"/>
    </row>
    <row r="752" ht="15.75" customHeight="1">
      <c r="E752" s="118"/>
    </row>
    <row r="753" ht="15.75" customHeight="1">
      <c r="E753" s="118"/>
    </row>
    <row r="754" ht="15.75" customHeight="1">
      <c r="E754" s="118"/>
    </row>
    <row r="755" ht="15.75" customHeight="1">
      <c r="E755" s="118"/>
    </row>
    <row r="756" ht="15.75" customHeight="1">
      <c r="E756" s="118"/>
    </row>
    <row r="757" ht="15.75" customHeight="1">
      <c r="E757" s="118"/>
    </row>
    <row r="758" ht="15.75" customHeight="1">
      <c r="E758" s="118"/>
    </row>
    <row r="759" ht="15.75" customHeight="1">
      <c r="E759" s="118"/>
    </row>
    <row r="760" ht="15.75" customHeight="1">
      <c r="E760" s="118"/>
    </row>
    <row r="761" ht="15.75" customHeight="1">
      <c r="E761" s="118"/>
    </row>
    <row r="762" ht="15.75" customHeight="1">
      <c r="E762" s="118"/>
    </row>
    <row r="763" ht="15.75" customHeight="1">
      <c r="E763" s="118"/>
    </row>
    <row r="764" ht="15.75" customHeight="1">
      <c r="E764" s="118"/>
    </row>
    <row r="765" ht="15.75" customHeight="1">
      <c r="E765" s="118"/>
    </row>
    <row r="766" ht="15.75" customHeight="1">
      <c r="E766" s="118"/>
    </row>
    <row r="767" ht="15.75" customHeight="1">
      <c r="E767" s="118"/>
    </row>
    <row r="768" ht="15.75" customHeight="1">
      <c r="E768" s="118"/>
    </row>
    <row r="769" ht="15.75" customHeight="1">
      <c r="E769" s="118"/>
    </row>
    <row r="770" ht="15.75" customHeight="1">
      <c r="E770" s="118"/>
    </row>
    <row r="771" ht="15.75" customHeight="1">
      <c r="E771" s="118"/>
    </row>
    <row r="772" ht="15.75" customHeight="1">
      <c r="E772" s="118"/>
    </row>
    <row r="773" ht="15.75" customHeight="1">
      <c r="E773" s="118"/>
    </row>
    <row r="774" ht="15.75" customHeight="1">
      <c r="E774" s="118"/>
    </row>
    <row r="775" ht="15.75" customHeight="1">
      <c r="E775" s="118"/>
    </row>
    <row r="776" ht="15.75" customHeight="1">
      <c r="E776" s="118"/>
    </row>
    <row r="777" ht="15.75" customHeight="1">
      <c r="E777" s="118"/>
    </row>
    <row r="778" ht="15.75" customHeight="1">
      <c r="E778" s="118"/>
    </row>
    <row r="779" ht="15.75" customHeight="1">
      <c r="E779" s="118"/>
    </row>
    <row r="780" ht="15.75" customHeight="1">
      <c r="E780" s="118"/>
    </row>
    <row r="781" ht="15.75" customHeight="1">
      <c r="E781" s="118"/>
    </row>
    <row r="782" ht="15.75" customHeight="1">
      <c r="E782" s="118"/>
    </row>
    <row r="783" ht="15.75" customHeight="1">
      <c r="E783" s="118"/>
    </row>
    <row r="784" ht="15.75" customHeight="1">
      <c r="E784" s="118"/>
    </row>
    <row r="785" ht="15.75" customHeight="1">
      <c r="E785" s="118"/>
    </row>
    <row r="786" ht="15.75" customHeight="1">
      <c r="E786" s="118"/>
    </row>
    <row r="787" ht="15.75" customHeight="1">
      <c r="E787" s="118"/>
    </row>
    <row r="788" ht="15.75" customHeight="1">
      <c r="E788" s="118"/>
    </row>
    <row r="789" ht="15.75" customHeight="1">
      <c r="E789" s="118"/>
    </row>
    <row r="790" ht="15.75" customHeight="1">
      <c r="E790" s="118"/>
    </row>
    <row r="791" ht="15.75" customHeight="1">
      <c r="E791" s="118"/>
    </row>
    <row r="792" ht="15.75" customHeight="1">
      <c r="E792" s="118"/>
    </row>
    <row r="793" ht="15.75" customHeight="1">
      <c r="E793" s="118"/>
    </row>
    <row r="794" ht="15.75" customHeight="1">
      <c r="E794" s="118"/>
    </row>
    <row r="795" ht="15.75" customHeight="1">
      <c r="E795" s="118"/>
    </row>
    <row r="796" ht="15.75" customHeight="1">
      <c r="E796" s="118"/>
    </row>
    <row r="797" ht="15.75" customHeight="1">
      <c r="E797" s="118"/>
    </row>
    <row r="798" ht="15.75" customHeight="1">
      <c r="E798" s="118"/>
    </row>
    <row r="799" ht="15.75" customHeight="1">
      <c r="E799" s="118"/>
    </row>
    <row r="800" ht="15.75" customHeight="1">
      <c r="E800" s="118"/>
    </row>
    <row r="801" ht="15.75" customHeight="1">
      <c r="E801" s="118"/>
    </row>
    <row r="802" ht="15.75" customHeight="1">
      <c r="E802" s="118"/>
    </row>
    <row r="803" ht="15.75" customHeight="1">
      <c r="E803" s="118"/>
    </row>
    <row r="804" ht="15.75" customHeight="1">
      <c r="E804" s="118"/>
    </row>
    <row r="805" ht="15.75" customHeight="1">
      <c r="E805" s="118"/>
    </row>
    <row r="806" ht="15.75" customHeight="1">
      <c r="E806" s="118"/>
    </row>
    <row r="807" ht="15.75" customHeight="1">
      <c r="E807" s="118"/>
    </row>
    <row r="808" ht="15.75" customHeight="1">
      <c r="E808" s="118"/>
    </row>
    <row r="809" ht="15.75" customHeight="1">
      <c r="E809" s="118"/>
    </row>
    <row r="810" ht="15.75" customHeight="1">
      <c r="E810" s="118"/>
    </row>
    <row r="811" ht="15.75" customHeight="1">
      <c r="E811" s="118"/>
    </row>
    <row r="812" ht="15.75" customHeight="1">
      <c r="E812" s="118"/>
    </row>
    <row r="813" ht="15.75" customHeight="1">
      <c r="E813" s="118"/>
    </row>
    <row r="814" ht="15.75" customHeight="1">
      <c r="E814" s="118"/>
    </row>
    <row r="815" ht="15.75" customHeight="1">
      <c r="E815" s="118"/>
    </row>
    <row r="816" ht="15.75" customHeight="1">
      <c r="E816" s="118"/>
    </row>
    <row r="817" ht="15.75" customHeight="1">
      <c r="E817" s="118"/>
    </row>
    <row r="818" ht="15.75" customHeight="1">
      <c r="E818" s="118"/>
    </row>
    <row r="819" ht="15.75" customHeight="1">
      <c r="E819" s="118"/>
    </row>
    <row r="820" ht="15.75" customHeight="1">
      <c r="E820" s="118"/>
    </row>
    <row r="821" ht="15.75" customHeight="1">
      <c r="E821" s="118"/>
    </row>
    <row r="822" ht="15.75" customHeight="1">
      <c r="E822" s="118"/>
    </row>
    <row r="823" ht="15.75" customHeight="1">
      <c r="E823" s="118"/>
    </row>
    <row r="824" ht="15.75" customHeight="1">
      <c r="E824" s="118"/>
    </row>
    <row r="825" ht="15.75" customHeight="1">
      <c r="E825" s="118"/>
    </row>
    <row r="826" ht="15.75" customHeight="1">
      <c r="E826" s="118"/>
    </row>
    <row r="827" ht="15.75" customHeight="1">
      <c r="E827" s="118"/>
    </row>
    <row r="828" ht="15.75" customHeight="1">
      <c r="E828" s="118"/>
    </row>
    <row r="829" ht="15.75" customHeight="1">
      <c r="E829" s="118"/>
    </row>
    <row r="830" ht="15.75" customHeight="1">
      <c r="E830" s="118"/>
    </row>
    <row r="831" ht="15.75" customHeight="1">
      <c r="E831" s="118"/>
    </row>
    <row r="832" ht="15.75" customHeight="1">
      <c r="E832" s="118"/>
    </row>
    <row r="833" ht="15.75" customHeight="1">
      <c r="E833" s="118"/>
    </row>
    <row r="834" ht="15.75" customHeight="1">
      <c r="E834" s="118"/>
    </row>
    <row r="835" ht="15.75" customHeight="1">
      <c r="E835" s="118"/>
    </row>
    <row r="836" ht="15.75" customHeight="1">
      <c r="E836" s="118"/>
    </row>
    <row r="837" ht="15.75" customHeight="1">
      <c r="E837" s="118"/>
    </row>
    <row r="838" ht="15.75" customHeight="1">
      <c r="E838" s="118"/>
    </row>
    <row r="839" ht="15.75" customHeight="1">
      <c r="E839" s="118"/>
    </row>
    <row r="840" ht="15.75" customHeight="1">
      <c r="E840" s="118"/>
    </row>
    <row r="841" ht="15.75" customHeight="1">
      <c r="E841" s="118"/>
    </row>
    <row r="842" ht="15.75" customHeight="1">
      <c r="E842" s="118"/>
    </row>
    <row r="843" ht="15.75" customHeight="1">
      <c r="E843" s="118"/>
    </row>
    <row r="844" ht="15.75" customHeight="1">
      <c r="E844" s="118"/>
    </row>
    <row r="845" ht="15.75" customHeight="1">
      <c r="E845" s="118"/>
    </row>
    <row r="846" ht="15.75" customHeight="1">
      <c r="E846" s="118"/>
    </row>
    <row r="847" ht="15.75" customHeight="1">
      <c r="E847" s="118"/>
    </row>
    <row r="848" ht="15.75" customHeight="1">
      <c r="E848" s="118"/>
    </row>
    <row r="849" ht="15.75" customHeight="1">
      <c r="E849" s="118"/>
    </row>
    <row r="850" ht="15.75" customHeight="1">
      <c r="E850" s="118"/>
    </row>
    <row r="851" ht="15.75" customHeight="1">
      <c r="E851" s="118"/>
    </row>
    <row r="852" ht="15.75" customHeight="1">
      <c r="E852" s="118"/>
    </row>
    <row r="853" ht="15.75" customHeight="1">
      <c r="E853" s="118"/>
    </row>
    <row r="854" ht="15.75" customHeight="1">
      <c r="E854" s="118"/>
    </row>
    <row r="855" ht="15.75" customHeight="1">
      <c r="E855" s="118"/>
    </row>
    <row r="856" ht="15.75" customHeight="1">
      <c r="E856" s="118"/>
    </row>
    <row r="857" ht="15.75" customHeight="1">
      <c r="E857" s="118"/>
    </row>
    <row r="858" ht="15.75" customHeight="1">
      <c r="E858" s="118"/>
    </row>
    <row r="859" ht="15.75" customHeight="1">
      <c r="E859" s="118"/>
    </row>
    <row r="860" ht="15.75" customHeight="1">
      <c r="E860" s="118"/>
    </row>
    <row r="861" ht="15.75" customHeight="1">
      <c r="E861" s="118"/>
    </row>
    <row r="862" ht="15.75" customHeight="1">
      <c r="E862" s="118"/>
    </row>
    <row r="863" ht="15.75" customHeight="1">
      <c r="E863" s="118"/>
    </row>
    <row r="864" ht="15.75" customHeight="1">
      <c r="E864" s="118"/>
    </row>
    <row r="865" ht="15.75" customHeight="1">
      <c r="E865" s="118"/>
    </row>
    <row r="866" ht="15.75" customHeight="1">
      <c r="E866" s="118"/>
    </row>
    <row r="867" ht="15.75" customHeight="1">
      <c r="E867" s="118"/>
    </row>
    <row r="868" ht="15.75" customHeight="1">
      <c r="E868" s="118"/>
    </row>
    <row r="869" ht="15.75" customHeight="1">
      <c r="E869" s="118"/>
    </row>
    <row r="870" ht="15.75" customHeight="1">
      <c r="E870" s="118"/>
    </row>
    <row r="871" ht="15.75" customHeight="1">
      <c r="E871" s="118"/>
    </row>
    <row r="872" ht="15.75" customHeight="1">
      <c r="E872" s="118"/>
    </row>
    <row r="873" ht="15.75" customHeight="1">
      <c r="E873" s="118"/>
    </row>
    <row r="874" ht="15.75" customHeight="1">
      <c r="E874" s="118"/>
    </row>
    <row r="875" ht="15.75" customHeight="1">
      <c r="E875" s="118"/>
    </row>
    <row r="876" ht="15.75" customHeight="1">
      <c r="E876" s="118"/>
    </row>
    <row r="877" ht="15.75" customHeight="1">
      <c r="E877" s="118"/>
    </row>
    <row r="878" ht="15.75" customHeight="1">
      <c r="E878" s="118"/>
    </row>
    <row r="879" ht="15.75" customHeight="1">
      <c r="E879" s="118"/>
    </row>
    <row r="880" ht="15.75" customHeight="1">
      <c r="E880" s="118"/>
    </row>
    <row r="881" ht="15.75" customHeight="1">
      <c r="E881" s="118"/>
    </row>
    <row r="882" ht="15.75" customHeight="1">
      <c r="E882" s="118"/>
    </row>
    <row r="883" ht="15.75" customHeight="1">
      <c r="E883" s="118"/>
    </row>
    <row r="884" ht="15.75" customHeight="1">
      <c r="E884" s="118"/>
    </row>
    <row r="885" ht="15.75" customHeight="1">
      <c r="E885" s="118"/>
    </row>
    <row r="886" ht="15.75" customHeight="1">
      <c r="E886" s="118"/>
    </row>
    <row r="887" ht="15.75" customHeight="1">
      <c r="E887" s="118"/>
    </row>
    <row r="888" ht="15.75" customHeight="1">
      <c r="E888" s="118"/>
    </row>
    <row r="889" ht="15.75" customHeight="1">
      <c r="E889" s="118"/>
    </row>
    <row r="890" ht="15.75" customHeight="1">
      <c r="E890" s="118"/>
    </row>
    <row r="891" ht="15.75" customHeight="1">
      <c r="E891" s="118"/>
    </row>
    <row r="892" ht="15.75" customHeight="1">
      <c r="E892" s="118"/>
    </row>
    <row r="893" ht="15.75" customHeight="1">
      <c r="E893" s="118"/>
    </row>
    <row r="894" ht="15.75" customHeight="1">
      <c r="E894" s="118"/>
    </row>
    <row r="895" ht="15.75" customHeight="1">
      <c r="E895" s="118"/>
    </row>
    <row r="896" ht="15.75" customHeight="1">
      <c r="E896" s="118"/>
    </row>
    <row r="897" ht="15.75" customHeight="1">
      <c r="E897" s="118"/>
    </row>
    <row r="898" ht="15.75" customHeight="1">
      <c r="E898" s="118"/>
    </row>
    <row r="899" ht="15.75" customHeight="1">
      <c r="E899" s="118"/>
    </row>
    <row r="900" ht="15.75" customHeight="1">
      <c r="E900" s="118"/>
    </row>
    <row r="901" ht="15.75" customHeight="1">
      <c r="E901" s="118"/>
    </row>
    <row r="902" ht="15.75" customHeight="1">
      <c r="E902" s="118"/>
    </row>
    <row r="903" ht="15.75" customHeight="1">
      <c r="E903" s="118"/>
    </row>
    <row r="904" ht="15.75" customHeight="1">
      <c r="E904" s="118"/>
    </row>
    <row r="905" ht="15.75" customHeight="1">
      <c r="E905" s="118"/>
    </row>
    <row r="906" ht="15.75" customHeight="1">
      <c r="E906" s="118"/>
    </row>
    <row r="907" ht="15.75" customHeight="1">
      <c r="E907" s="118"/>
    </row>
    <row r="908" ht="15.75" customHeight="1">
      <c r="E908" s="118"/>
    </row>
    <row r="909" ht="15.75" customHeight="1">
      <c r="E909" s="118"/>
    </row>
    <row r="910" ht="15.75" customHeight="1">
      <c r="E910" s="118"/>
    </row>
    <row r="911" ht="15.75" customHeight="1">
      <c r="E911" s="118"/>
    </row>
    <row r="912" ht="15.75" customHeight="1">
      <c r="E912" s="118"/>
    </row>
    <row r="913" ht="15.75" customHeight="1">
      <c r="E913" s="118"/>
    </row>
    <row r="914" ht="15.75" customHeight="1">
      <c r="E914" s="118"/>
    </row>
    <row r="915" ht="15.75" customHeight="1">
      <c r="E915" s="118"/>
    </row>
    <row r="916" ht="15.75" customHeight="1">
      <c r="E916" s="118"/>
    </row>
    <row r="917" ht="15.75" customHeight="1">
      <c r="E917" s="118"/>
    </row>
    <row r="918" ht="15.75" customHeight="1">
      <c r="E918" s="118"/>
    </row>
    <row r="919" ht="15.75" customHeight="1">
      <c r="E919" s="118"/>
    </row>
    <row r="920" ht="15.75" customHeight="1">
      <c r="E920" s="118"/>
    </row>
    <row r="921" ht="15.75" customHeight="1">
      <c r="E921" s="118"/>
    </row>
    <row r="922" ht="15.75" customHeight="1">
      <c r="E922" s="118"/>
    </row>
    <row r="923" ht="15.75" customHeight="1">
      <c r="E923" s="118"/>
    </row>
    <row r="924" ht="15.75" customHeight="1">
      <c r="E924" s="118"/>
    </row>
    <row r="925" ht="15.75" customHeight="1">
      <c r="E925" s="118"/>
    </row>
    <row r="926" ht="15.75" customHeight="1">
      <c r="E926" s="118"/>
    </row>
    <row r="927" ht="15.75" customHeight="1">
      <c r="E927" s="118"/>
    </row>
    <row r="928" ht="15.75" customHeight="1">
      <c r="E928" s="118"/>
    </row>
    <row r="929" ht="15.75" customHeight="1">
      <c r="E929" s="118"/>
    </row>
    <row r="930" ht="15.75" customHeight="1">
      <c r="E930" s="118"/>
    </row>
    <row r="931" ht="15.75" customHeight="1">
      <c r="E931" s="118"/>
    </row>
    <row r="932" ht="15.75" customHeight="1">
      <c r="E932" s="118"/>
    </row>
    <row r="933" ht="15.75" customHeight="1">
      <c r="E933" s="118"/>
    </row>
    <row r="934" ht="15.75" customHeight="1">
      <c r="E934" s="118"/>
    </row>
    <row r="935" ht="15.75" customHeight="1">
      <c r="E935" s="118"/>
    </row>
    <row r="936" ht="15.75" customHeight="1">
      <c r="E936" s="118"/>
    </row>
    <row r="937" ht="15.75" customHeight="1">
      <c r="E937" s="118"/>
    </row>
    <row r="938" ht="15.75" customHeight="1">
      <c r="E938" s="118"/>
    </row>
    <row r="939" ht="15.75" customHeight="1">
      <c r="E939" s="118"/>
    </row>
    <row r="940" ht="15.75" customHeight="1">
      <c r="E940" s="118"/>
    </row>
    <row r="941" ht="15.75" customHeight="1">
      <c r="E941" s="118"/>
    </row>
    <row r="942" ht="15.75" customHeight="1">
      <c r="E942" s="118"/>
    </row>
    <row r="943" ht="15.75" customHeight="1">
      <c r="E943" s="118"/>
    </row>
    <row r="944" ht="15.75" customHeight="1">
      <c r="E944" s="118"/>
    </row>
    <row r="945" ht="15.75" customHeight="1">
      <c r="E945" s="118"/>
    </row>
    <row r="946" ht="15.75" customHeight="1">
      <c r="E946" s="118"/>
    </row>
    <row r="947" ht="15.75" customHeight="1">
      <c r="E947" s="118"/>
    </row>
    <row r="948" ht="15.75" customHeight="1">
      <c r="E948" s="118"/>
    </row>
    <row r="949" ht="15.75" customHeight="1">
      <c r="E949" s="118"/>
    </row>
    <row r="950" ht="15.75" customHeight="1">
      <c r="E950" s="118"/>
    </row>
    <row r="951" ht="15.75" customHeight="1">
      <c r="E951" s="118"/>
    </row>
    <row r="952" ht="15.75" customHeight="1">
      <c r="E952" s="118"/>
    </row>
    <row r="953" ht="15.75" customHeight="1">
      <c r="E953" s="118"/>
    </row>
    <row r="954" ht="15.75" customHeight="1">
      <c r="E954" s="118"/>
    </row>
    <row r="955" ht="15.75" customHeight="1">
      <c r="E955" s="118"/>
    </row>
    <row r="956" ht="15.75" customHeight="1">
      <c r="E956" s="118"/>
    </row>
    <row r="957" ht="15.75" customHeight="1">
      <c r="E957" s="118"/>
    </row>
    <row r="958" ht="15.75" customHeight="1">
      <c r="E958" s="118"/>
    </row>
    <row r="959" ht="15.75" customHeight="1">
      <c r="E959" s="118"/>
    </row>
    <row r="960" ht="15.75" customHeight="1">
      <c r="E960" s="118"/>
    </row>
    <row r="961" ht="15.75" customHeight="1">
      <c r="E961" s="118"/>
    </row>
    <row r="962" ht="15.75" customHeight="1">
      <c r="E962" s="118"/>
    </row>
    <row r="963" ht="15.75" customHeight="1">
      <c r="E963" s="118"/>
    </row>
    <row r="964" ht="15.75" customHeight="1">
      <c r="E964" s="118"/>
    </row>
    <row r="965" ht="15.75" customHeight="1">
      <c r="E965" s="118"/>
    </row>
    <row r="966" ht="15.75" customHeight="1">
      <c r="E966" s="118"/>
    </row>
    <row r="967" ht="15.75" customHeight="1">
      <c r="E967" s="118"/>
    </row>
    <row r="968" ht="15.75" customHeight="1">
      <c r="E968" s="118"/>
    </row>
    <row r="969" ht="15.75" customHeight="1">
      <c r="E969" s="118"/>
    </row>
    <row r="970" ht="15.75" customHeight="1">
      <c r="E970" s="118"/>
    </row>
    <row r="971" ht="15.75" customHeight="1">
      <c r="E971" s="118"/>
    </row>
    <row r="972" ht="15.75" customHeight="1">
      <c r="E972" s="118"/>
    </row>
    <row r="973" ht="15.75" customHeight="1">
      <c r="E973" s="118"/>
    </row>
    <row r="974" ht="15.75" customHeight="1">
      <c r="E974" s="118"/>
    </row>
    <row r="975" ht="15.75" customHeight="1">
      <c r="E975" s="118"/>
    </row>
    <row r="976" ht="15.75" customHeight="1">
      <c r="E976" s="118"/>
    </row>
    <row r="977" ht="15.75" customHeight="1">
      <c r="E977" s="118"/>
    </row>
    <row r="978" ht="15.75" customHeight="1">
      <c r="E978" s="118"/>
    </row>
    <row r="979" ht="15.75" customHeight="1">
      <c r="E979" s="118"/>
    </row>
    <row r="980" ht="15.75" customHeight="1">
      <c r="E980" s="118"/>
    </row>
    <row r="981" ht="15.75" customHeight="1">
      <c r="E981" s="118"/>
    </row>
    <row r="982" ht="15.75" customHeight="1">
      <c r="E982" s="118"/>
    </row>
    <row r="983" ht="15.75" customHeight="1">
      <c r="E983" s="118"/>
    </row>
    <row r="984" ht="15.75" customHeight="1">
      <c r="E984" s="118"/>
    </row>
    <row r="985" ht="15.75" customHeight="1">
      <c r="E985" s="118"/>
    </row>
    <row r="986" ht="15.75" customHeight="1">
      <c r="E986" s="118"/>
    </row>
    <row r="987" ht="15.75" customHeight="1">
      <c r="E987" s="118"/>
    </row>
    <row r="988" ht="15.75" customHeight="1">
      <c r="E988" s="118"/>
    </row>
    <row r="989" ht="15.75" customHeight="1">
      <c r="E989" s="118"/>
    </row>
    <row r="990" ht="15.75" customHeight="1">
      <c r="E990" s="118"/>
    </row>
    <row r="991" ht="15.75" customHeight="1">
      <c r="E991" s="118"/>
    </row>
    <row r="992" ht="15.75" customHeight="1">
      <c r="E992" s="118"/>
    </row>
    <row r="993" ht="15.75" customHeight="1">
      <c r="E993" s="118"/>
    </row>
    <row r="994" ht="15.75" customHeight="1">
      <c r="E994" s="118"/>
    </row>
    <row r="995" ht="15.75" customHeight="1">
      <c r="E995" s="118"/>
    </row>
    <row r="996" ht="15.75" customHeight="1">
      <c r="E996" s="118"/>
    </row>
    <row r="997" ht="15.75" customHeight="1">
      <c r="E997" s="118"/>
    </row>
    <row r="998" ht="15.75" customHeight="1">
      <c r="E998" s="118"/>
    </row>
    <row r="999" ht="15.75" customHeight="1">
      <c r="E999" s="118"/>
    </row>
    <row r="1000" ht="15.75" customHeight="1">
      <c r="E1000" s="11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2026-01-05T08:03:00Z</dcterms:created>
  <dc:creator>HP</dc:creator>
</cp:coreProperties>
</file>