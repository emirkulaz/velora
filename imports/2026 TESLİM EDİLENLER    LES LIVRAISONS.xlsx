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DOUCHE" sheetId="1" r:id="rId4"/>
    <sheet state="visible" name="HOUARI" sheetId="2" r:id="rId5"/>
    <sheet state="visible" name="YACINE" sheetId="3" r:id="rId6"/>
    <sheet state="visible" name="SOFIANE" sheetId="4" r:id="rId7"/>
    <sheet state="visible" name="KARIM ELIBOL" sheetId="5" r:id="rId8"/>
    <sheet state="visible" name="KEMAL" sheetId="6" r:id="rId9"/>
    <sheet state="visible" name="HANI" sheetId="7" r:id="rId10"/>
    <sheet state="visible" name="khalıl elıbol" sheetId="8" r:id="rId11"/>
    <sheet state="visible" name="BARIŞ" sheetId="9" r:id="rId12"/>
  </sheets>
  <definedNames/>
  <calcPr/>
  <extLst>
    <ext uri="GoogleSheetsCustomDataVersion2">
      <go:sheetsCustomData xmlns:go="http://customooxmlschemas.google.com/" r:id="rId13" roundtripDataChecksum="kArR5fxpZaYEpOOiR0sXoL/xXQOYsAjWLzeJB342/Jk="/>
    </ext>
  </extLst>
</workbook>
</file>

<file path=xl/sharedStrings.xml><?xml version="1.0" encoding="utf-8"?>
<sst xmlns="http://schemas.openxmlformats.org/spreadsheetml/2006/main" count="751" uniqueCount="381">
  <si>
    <t>SOFIANE</t>
  </si>
  <si>
    <t>YACINE</t>
  </si>
  <si>
    <t>HOUARI</t>
  </si>
  <si>
    <t>DEDOUCHE</t>
  </si>
  <si>
    <t>TARİH</t>
  </si>
  <si>
    <t>GONDERİLEN</t>
  </si>
  <si>
    <t>ADET/METRE</t>
  </si>
  <si>
    <t>KG</t>
  </si>
  <si>
    <t>BIRIM FIYAT</t>
  </si>
  <si>
    <t>TOPLAM</t>
  </si>
  <si>
    <t>TUTAR</t>
  </si>
  <si>
    <t>BON NOSU</t>
  </si>
  <si>
    <t>BURBERRY 3RENK 4CM</t>
  </si>
  <si>
    <t>BANDE 4CM NOIR/BLA</t>
  </si>
  <si>
    <t>ROUGE/ BLANC 2,5CM</t>
  </si>
  <si>
    <t>ROUGE/BLANC 2,5CM</t>
  </si>
  <si>
    <t>PRADA 4CM</t>
  </si>
  <si>
    <t>BANDE R/B/B.NUI 4,5CM</t>
  </si>
  <si>
    <t>B,NUIT/BLANC 4CM</t>
  </si>
  <si>
    <t>VERT/ BLANC 2,5 CM</t>
  </si>
  <si>
    <t>MIUMIU 4CM</t>
  </si>
  <si>
    <t>NOIR/BEIGE 4CM</t>
  </si>
  <si>
    <t>BLEU/BLANC 2,5CM</t>
  </si>
  <si>
    <t>HERMES 4CM</t>
  </si>
  <si>
    <t xml:space="preserve">AMIRI 5CM </t>
  </si>
  <si>
    <t>BANDE 8CM 3RENK</t>
  </si>
  <si>
    <t>NOIR/VERT102  2,5CM</t>
  </si>
  <si>
    <t>LOEWE B/N 5CM</t>
  </si>
  <si>
    <t>B,NUIT/BLANC 2CM</t>
  </si>
  <si>
    <t>NOIR/VERT 2,5 CM</t>
  </si>
  <si>
    <t>GUCCI 4CM</t>
  </si>
  <si>
    <t>LOEWE N/B 5CM</t>
  </si>
  <si>
    <t>NOIR/BEIGE64 2CM</t>
  </si>
  <si>
    <t>armanı</t>
  </si>
  <si>
    <t>ROUGE/BLEU103  2,5CM</t>
  </si>
  <si>
    <t>BLEU515/BLANC 2CM</t>
  </si>
  <si>
    <t>AMIRI YENI MODEL 4CM</t>
  </si>
  <si>
    <t>BLEU90/BLANC 2CM</t>
  </si>
  <si>
    <t>VERT124/BLANC</t>
  </si>
  <si>
    <t>LOUISVUIITON B/K</t>
  </si>
  <si>
    <t>NOIR/VERT14 2,5 CM</t>
  </si>
  <si>
    <t>MONKLER 3RENK/ 5CM</t>
  </si>
  <si>
    <t>LOUISVUIITON S/B</t>
  </si>
  <si>
    <t>LV 4CM</t>
  </si>
  <si>
    <t>BAKLAVA DESENI 5CM S/B</t>
  </si>
  <si>
    <t>BANDE 2RENK 4CM</t>
  </si>
  <si>
    <t>b,nuıt/vert102</t>
  </si>
  <si>
    <t>BAKLAVA DESENI 5CM B/S</t>
  </si>
  <si>
    <t>ROUGE/BLANC 2CM</t>
  </si>
  <si>
    <t>BANDE 3CM 3RENK</t>
  </si>
  <si>
    <t>GUCCI NOIR/BLANC 4CM</t>
  </si>
  <si>
    <t>NOIR/VERT102 2 CM</t>
  </si>
  <si>
    <t>LOUISVUITTON B/M 4CM</t>
  </si>
  <si>
    <t>VERT31/BLANC 2CM</t>
  </si>
  <si>
    <t>ALO NOIR/BLANC 4CM</t>
  </si>
  <si>
    <t>PRADA NOIR/BLANC 4CM</t>
  </si>
  <si>
    <t>NOIR/BEIGE 119 2CM</t>
  </si>
  <si>
    <t>ROUGE01/BLANC 2CM</t>
  </si>
  <si>
    <t>bande 4,5CM 3RENK</t>
  </si>
  <si>
    <t>noır/beıge 2cm</t>
  </si>
  <si>
    <t>bnuıt/vert102 2CM</t>
  </si>
  <si>
    <t>HERMES NOIR/ORANGE 4CM</t>
  </si>
  <si>
    <t>NOIR/BEIGE 39 2,5CM</t>
  </si>
  <si>
    <t>b,nuıt/vert102 2cm</t>
  </si>
  <si>
    <t>monclaır 4,5CM 3RENK</t>
  </si>
  <si>
    <t>bleu90/blanc 2cm</t>
  </si>
  <si>
    <t>B90/BLANC  2CM</t>
  </si>
  <si>
    <t>LOUISVUITTON B/S 4CM</t>
  </si>
  <si>
    <t>4,5CM GRENNAT</t>
  </si>
  <si>
    <t>ROUGE/ BLANC 2CM</t>
  </si>
  <si>
    <t>BLANC/ ORANGE 2CM</t>
  </si>
  <si>
    <t>NOIR/VERT 14 2,5CM</t>
  </si>
  <si>
    <t>GUCCI 5CM</t>
  </si>
  <si>
    <t>B515/BLANC 2cm</t>
  </si>
  <si>
    <t>4,5cm noır/blanc</t>
  </si>
  <si>
    <t>NOIR/VERT102 2CM</t>
  </si>
  <si>
    <t>BNUIT/ BLANC 2,5CM</t>
  </si>
  <si>
    <t>NOIR/VERT102  2CM</t>
  </si>
  <si>
    <t>VERT31/BLANC 2,5CM</t>
  </si>
  <si>
    <t>GUCCI 4CM KAHVE/BEJ</t>
  </si>
  <si>
    <t>BURBERRY 4CM 3RENK</t>
  </si>
  <si>
    <t>LOUISVUITTON 4CM B/S</t>
  </si>
  <si>
    <t>B515/BLANC 2,5cm</t>
  </si>
  <si>
    <t>BNUIT/ BLANC 2CM</t>
  </si>
  <si>
    <t>NOIR/VERT102 2,5 CM</t>
  </si>
  <si>
    <t>ROUGE02/BLANC 2CM</t>
  </si>
  <si>
    <t>MONCLQIR 5CM 3RENK</t>
  </si>
  <si>
    <t>B,NUIT/BLANC</t>
  </si>
  <si>
    <t>MIUMIU 4CM NOIR/BLQNC</t>
  </si>
  <si>
    <t>NOIR/VERT 102 2CM</t>
  </si>
  <si>
    <t>blanc /noir 4,5cm</t>
  </si>
  <si>
    <t>bleu90/blanc 2,5cm</t>
  </si>
  <si>
    <t>monclair 4,5 cm</t>
  </si>
  <si>
    <t>LV 4CM MARRON/NOIR</t>
  </si>
  <si>
    <t>NOIR/BEIGE64 2 CM</t>
  </si>
  <si>
    <t>Grenat 4,5 cm</t>
  </si>
  <si>
    <t>blanc / noir 4,5cm</t>
  </si>
  <si>
    <t>bande grenat 4,5cm</t>
  </si>
  <si>
    <t>orange /noir 3cm</t>
  </si>
  <si>
    <t>300m</t>
  </si>
  <si>
    <t>3 couleur</t>
  </si>
  <si>
    <t>NOIR/BLANC 2CM</t>
  </si>
  <si>
    <t>monclair 4,5cm</t>
  </si>
  <si>
    <t>3 couleur 5 cm</t>
  </si>
  <si>
    <t>col polo noir blanc 42/9cm</t>
  </si>
  <si>
    <t>col bande 34/3cm</t>
  </si>
  <si>
    <t>col polo beige marron 42/9</t>
  </si>
  <si>
    <t>MONCLAIR 4,5 CM</t>
  </si>
  <si>
    <t>MONCLAIR 4,5CM 3CLR</t>
  </si>
  <si>
    <t>327 /326</t>
  </si>
  <si>
    <t>COL POLO NOIR SIMPLE</t>
  </si>
  <si>
    <t>BLEU22/ ROUGE 2CM</t>
  </si>
  <si>
    <t xml:space="preserve">COL POLO </t>
  </si>
  <si>
    <t>Monclaire 5cm 3clr</t>
  </si>
  <si>
    <t>NOIR/BEIGE 64 2CM</t>
  </si>
  <si>
    <t>BANDE LV 5CM NOIR BLANC</t>
  </si>
  <si>
    <t>Gucci noir/ blanc 4cm</t>
  </si>
  <si>
    <t>B90/ BLANC 2,5CM</t>
  </si>
  <si>
    <t>MONCLAIR 4,5CM B16</t>
  </si>
  <si>
    <t>louis vuitton 4cm Noir/Blanc</t>
  </si>
  <si>
    <t>333/334</t>
  </si>
  <si>
    <t>LOEWE 5CM NOIR BLANC</t>
  </si>
  <si>
    <t>BLANC VERT 79/ 4,5CM</t>
  </si>
  <si>
    <t xml:space="preserve">BLANC NOIR 5CM </t>
  </si>
  <si>
    <t>MONCLAIR 3CLR 5CM</t>
  </si>
  <si>
    <t>B90/ BLANC 2CM</t>
  </si>
  <si>
    <t>MONCLAIR 5CM 3CLR</t>
  </si>
  <si>
    <t>col noir 42/9cm</t>
  </si>
  <si>
    <t>BLEU NUIT BLANC 2CM</t>
  </si>
  <si>
    <t>B515/ROUGE108 2cm</t>
  </si>
  <si>
    <t>PRADA NOIR/BL 4CM</t>
  </si>
  <si>
    <t>monclair 4,5cm 3clr</t>
  </si>
  <si>
    <t>LOEWE 5CM</t>
  </si>
  <si>
    <t>bande blanc gris B8 5cm</t>
  </si>
  <si>
    <t>bande blanc vert 124 5cm</t>
  </si>
  <si>
    <t>IADE</t>
  </si>
  <si>
    <t>MONCLAIR 4,5 CM 3CLR</t>
  </si>
  <si>
    <t>BANDE BLANC VERT 124</t>
  </si>
  <si>
    <t>LOUIS VUITTON 4CM</t>
  </si>
  <si>
    <t>COLE vert 31</t>
  </si>
  <si>
    <t>BANDE BLANC GRIS B8</t>
  </si>
  <si>
    <t>cole vert 79</t>
  </si>
  <si>
    <t>BANDE BLANC NOIR 4,5CM</t>
  </si>
  <si>
    <t>BANDE 2CM NOIR VERT102</t>
  </si>
  <si>
    <t>cole grıs 71</t>
  </si>
  <si>
    <t>NOIR BLANC</t>
  </si>
  <si>
    <t>NOIR DORER</t>
  </si>
  <si>
    <t>NOIR BEIGE</t>
  </si>
  <si>
    <t>NOIR/VERT 102 2cm</t>
  </si>
  <si>
    <t xml:space="preserve">cole b.nuıt  44/9cm </t>
  </si>
  <si>
    <t>ROUGE/BLANC 2cm</t>
  </si>
  <si>
    <t>STOK</t>
  </si>
  <si>
    <t>BNUIT/ROUGE 2CM</t>
  </si>
  <si>
    <t>bande blanc vert 79</t>
  </si>
  <si>
    <t>BANDE 4CM NOIR/BLANC</t>
  </si>
  <si>
    <t xml:space="preserve">bande blanc noir </t>
  </si>
  <si>
    <t>GUCCI  B/VERT  5CM</t>
  </si>
  <si>
    <t>GUCCI  B/ GRI  5CM</t>
  </si>
  <si>
    <t>GUCCI  B/ NOIR  5CM</t>
  </si>
  <si>
    <t>BLANC / NOIR 4,5CM</t>
  </si>
  <si>
    <t>B90/BLANC 2CM</t>
  </si>
  <si>
    <t>bande 3cm blanc</t>
  </si>
  <si>
    <t>BLANC/ VERT79  4,5CM</t>
  </si>
  <si>
    <t>MONCLAIR B16  4,5CM</t>
  </si>
  <si>
    <t>BANDE BLANCHE 3CM</t>
  </si>
  <si>
    <t xml:space="preserve">COL NOIR AVEC TRAIT </t>
  </si>
  <si>
    <t>prada beıge/ noır 4cm</t>
  </si>
  <si>
    <t>MONCLAIR 5CM</t>
  </si>
  <si>
    <t>BANDE 4CM NOIR/BEIGE</t>
  </si>
  <si>
    <t>BANDE 4CM BLANC/BEIGE</t>
  </si>
  <si>
    <t>burberry</t>
  </si>
  <si>
    <t>BLEU90/ BLANC 2CM</t>
  </si>
  <si>
    <t xml:space="preserve">NOIR/ vert 4,5CM </t>
  </si>
  <si>
    <t>vert31/blanc 2CM</t>
  </si>
  <si>
    <t>loewe 5cm</t>
  </si>
  <si>
    <t>MONCLAIR 3CLR B16</t>
  </si>
  <si>
    <t>b515/blanc 2cm</t>
  </si>
  <si>
    <t>noır/vert102 2cm</t>
  </si>
  <si>
    <t>BANDE B VERT 79/4,5CM</t>
  </si>
  <si>
    <t>NOIR/ BLANC 2CM</t>
  </si>
  <si>
    <t xml:space="preserve">BANDE B  NOIR </t>
  </si>
  <si>
    <t>MONCLAIR B16</t>
  </si>
  <si>
    <t>monclaır b16</t>
  </si>
  <si>
    <t>BANDE 4CM grı/noır</t>
  </si>
  <si>
    <t>PRADA BEIGE /NOIR 4CM</t>
  </si>
  <si>
    <t>MONCLQIR 3,5CM 3RENK</t>
  </si>
  <si>
    <t>BANDE 4CM noır/beıge</t>
  </si>
  <si>
    <t>MONCLAIR BNUIT B16</t>
  </si>
  <si>
    <t>BANDE 4CM blanc/beıj</t>
  </si>
  <si>
    <t>GUCCI BLANC VERT 4,5CM</t>
  </si>
  <si>
    <t>BANDE 4CM vert/ blanc</t>
  </si>
  <si>
    <t>GUCCI BLANC NOIR 4,5 CM</t>
  </si>
  <si>
    <t>BANDE 5CM</t>
  </si>
  <si>
    <t>GUCCI BLANC GRIS 4,5CM</t>
  </si>
  <si>
    <t>MONCLQIR 3,5CM 3RENKblanc</t>
  </si>
  <si>
    <t>bnuıt/BLANC 2cm</t>
  </si>
  <si>
    <t>BANDE 4,5 BLANC /vert</t>
  </si>
  <si>
    <t>bnuıt/roouge2CM</t>
  </si>
  <si>
    <t>COL 36/9CM</t>
  </si>
  <si>
    <t>yaka vert31 42/9cm</t>
  </si>
  <si>
    <t>MONCLQIR 3,5CM 3RENK beıge</t>
  </si>
  <si>
    <t>yaka bej 42/9cm</t>
  </si>
  <si>
    <t>MONCLQIR 5CM 3RENK  nv</t>
  </si>
  <si>
    <t xml:space="preserve">lacoste 3,5cm blanc noir </t>
  </si>
  <si>
    <t xml:space="preserve">lacoste 3,5 blanc vert </t>
  </si>
  <si>
    <t>BANDE 4,5 BLANC /noır</t>
  </si>
  <si>
    <t xml:space="preserve">lacoste 3,5cm beige noir </t>
  </si>
  <si>
    <t xml:space="preserve">MONCLAIR 5 CM STOK </t>
  </si>
  <si>
    <t>MONCLAIR B16 4,5CM</t>
  </si>
  <si>
    <t>BANDE BLANC VERT 79</t>
  </si>
  <si>
    <t>NOIR/BEJ 2CM</t>
  </si>
  <si>
    <t xml:space="preserve">lacoste 3,5cm noir blanc </t>
  </si>
  <si>
    <t>yaka KAHVE 42/9cm</t>
  </si>
  <si>
    <t>louıs vuıtton 4cm b/n</t>
  </si>
  <si>
    <t>BERBERRY 4CM</t>
  </si>
  <si>
    <t>bande 4cm beıge/marron</t>
  </si>
  <si>
    <t>bande 4cm noır/blanc</t>
  </si>
  <si>
    <t>bande blanche 3cm</t>
  </si>
  <si>
    <t>BANDE BLANC NOIR</t>
  </si>
  <si>
    <t>GUCCI blanc/noır 4,5cm</t>
  </si>
  <si>
    <t>monclair 4,5cm b16</t>
  </si>
  <si>
    <t>NOIR /DORE 2cm</t>
  </si>
  <si>
    <t>2200m</t>
  </si>
  <si>
    <t>GUCCI BLANC VERT 79</t>
  </si>
  <si>
    <t>bleu nuit /blanc 2cm</t>
  </si>
  <si>
    <t>bande 4cm vert/blanc</t>
  </si>
  <si>
    <t>NOIR/ DORER 2CM</t>
  </si>
  <si>
    <t>NOIR DORER 2CM</t>
  </si>
  <si>
    <t>NOIR DORER 2 CM</t>
  </si>
  <si>
    <t>500M</t>
  </si>
  <si>
    <t>bande 2cm b nuit /rouge</t>
  </si>
  <si>
    <t>stok</t>
  </si>
  <si>
    <t>bande blanc vert 2cm</t>
  </si>
  <si>
    <t>guccı 4,5cm</t>
  </si>
  <si>
    <t>bande 2cm noir/ jaune</t>
  </si>
  <si>
    <t>BANDE 4,5</t>
  </si>
  <si>
    <t>BANDE NOIR BEIGE 2CM</t>
  </si>
  <si>
    <t>bande b nuit/blanc 2cm</t>
  </si>
  <si>
    <t>BANDE4,5cm blanc/noır</t>
  </si>
  <si>
    <t>BANDE NOIR VERT102</t>
  </si>
  <si>
    <t xml:space="preserve">col bande bleu nuit </t>
  </si>
  <si>
    <t>guccı 4,5cm   blanc/noır</t>
  </si>
  <si>
    <t>BANDE B NUIT ROUGE</t>
  </si>
  <si>
    <t>col bande noir</t>
  </si>
  <si>
    <t>BANDE 4,5 cm blanc/vert 79</t>
  </si>
  <si>
    <t>BANDE GUCCI VERT 79</t>
  </si>
  <si>
    <t xml:space="preserve">bande 4cm noir blanc </t>
  </si>
  <si>
    <t>bande 2cm vert blanc</t>
  </si>
  <si>
    <t>42/NOIR 4,5CM</t>
  </si>
  <si>
    <t xml:space="preserve">bande 2cm bleu blanc </t>
  </si>
  <si>
    <t>344+346</t>
  </si>
  <si>
    <t>42/B16 4,5CM</t>
  </si>
  <si>
    <t>bande B marine T blanc 2cm</t>
  </si>
  <si>
    <t>2CM KAHVE/NOIR</t>
  </si>
  <si>
    <t>monclaır b16/ b.nuıt</t>
  </si>
  <si>
    <t>yamaha blanc/bleu 4,5cm</t>
  </si>
  <si>
    <t>bande B ciel T blanc 2cm</t>
  </si>
  <si>
    <t>monclaır b16/ noır</t>
  </si>
  <si>
    <t>AMEL</t>
  </si>
  <si>
    <t>monclair 5cm 3clr 80da</t>
  </si>
  <si>
    <t>yamaha bleu/ blanc 4,5cm</t>
  </si>
  <si>
    <t>VERT BLANC 4CM</t>
  </si>
  <si>
    <t>42/ bnuıt78 4,5cm</t>
  </si>
  <si>
    <t>500M B16 85DA</t>
  </si>
  <si>
    <t>bande marron/noır 5cm</t>
  </si>
  <si>
    <t>MONCLAIR NOIR B16</t>
  </si>
  <si>
    <t>prochaine 3clr 90da</t>
  </si>
  <si>
    <t>bande vert blanc 4cm</t>
  </si>
  <si>
    <t>42/vert32 4,5cm</t>
  </si>
  <si>
    <t>MONCLAIR3CLR B16</t>
  </si>
  <si>
    <t>450M</t>
  </si>
  <si>
    <t xml:space="preserve">BANDE BNUIT </t>
  </si>
  <si>
    <t>MONCLAIR 3CLR N01</t>
  </si>
  <si>
    <t>BANDE 2CM</t>
  </si>
  <si>
    <t>MONCLAIR 3CLR</t>
  </si>
  <si>
    <t>NOIR BEIGE 2CM</t>
  </si>
  <si>
    <t>yamaha 4,5</t>
  </si>
  <si>
    <t>3cm blue/nuit</t>
  </si>
  <si>
    <t>BNUIT BLANC 2CM</t>
  </si>
  <si>
    <t>MONCLAIR 3 CLR 5CM</t>
  </si>
  <si>
    <t>KARIM ELİBOL YÖN</t>
  </si>
  <si>
    <t>3cm beige</t>
  </si>
  <si>
    <t>VERT BLANC 2CM</t>
  </si>
  <si>
    <t>MONCLAIR B16/NOIR</t>
  </si>
  <si>
    <t>vert/blanc 2CM</t>
  </si>
  <si>
    <t>BANDE 4CM SIYAH/BEYAZ</t>
  </si>
  <si>
    <t>3 cm  bnuıt</t>
  </si>
  <si>
    <t>3cm  beıge 42</t>
  </si>
  <si>
    <t>cole 42/9cm noır 2 traı blan</t>
  </si>
  <si>
    <t>GERCEK TOPLAM 24,000,00DA</t>
  </si>
  <si>
    <t>col noir blanc 42/9</t>
  </si>
  <si>
    <t>bande beige noir 2cm</t>
  </si>
  <si>
    <t>MONCLAR 3RENK 4CM</t>
  </si>
  <si>
    <t>LV BEJ/NOIR 4CM</t>
  </si>
  <si>
    <t>monclair noir b16</t>
  </si>
  <si>
    <t>MONCLAIRE NOIR B16</t>
  </si>
  <si>
    <t>GERCEK TOPLAM 160.100,00DA</t>
  </si>
  <si>
    <t>AMIRI 5CM SIYAH/BEYAZ</t>
  </si>
  <si>
    <t>BANDE 2CM NOIR BEIGE</t>
  </si>
  <si>
    <t>46,000fark verıldı</t>
  </si>
  <si>
    <t>PRADA SIYAH/BEYAZ 4CM</t>
  </si>
  <si>
    <t>BANDE 2CM NOIr vert</t>
  </si>
  <si>
    <t>MONCLAIRE 3CLR B16</t>
  </si>
  <si>
    <t>COL NOIR BLANC 42/9</t>
  </si>
  <si>
    <t>LOUISVUITTON 4CM</t>
  </si>
  <si>
    <t>LOEWE 5CM NOIR/BLANC</t>
  </si>
  <si>
    <t>MONCLAIR ROUGE01 4,5CM</t>
  </si>
  <si>
    <t>GERCEK TOPLAM 284,700,00DA</t>
  </si>
  <si>
    <t>70,000fark verıldı</t>
  </si>
  <si>
    <t>MONCLAIR B16 BNUIT 4,5CM</t>
  </si>
  <si>
    <t>BANDE 2CM NOIR 102</t>
  </si>
  <si>
    <t>GUCCI 3RENK 4CM</t>
  </si>
  <si>
    <t>COL 42/9 BNUIT MAUVE</t>
  </si>
  <si>
    <t>PRADA 4CM SIYAH/BEYAZ</t>
  </si>
  <si>
    <t>COL 42/9 VERT BLANC</t>
  </si>
  <si>
    <t>COL 42/9 GRIS BLANC</t>
  </si>
  <si>
    <t>GERCEK TOPLAM 12,000.00DA</t>
  </si>
  <si>
    <t>3,000fark verıldı</t>
  </si>
  <si>
    <t>COL GRIS 42/9</t>
  </si>
  <si>
    <t>GERCEK TOPLAM 86,400.00DA</t>
  </si>
  <si>
    <t>27,000fark verıldı</t>
  </si>
  <si>
    <t xml:space="preserve">BANDE 2CM B NUIT BLANC </t>
  </si>
  <si>
    <t>MONCLAIR 4,5</t>
  </si>
  <si>
    <t>MONCLAIR 4,5 CM NOIR</t>
  </si>
  <si>
    <t>GERCEK TOPLAM 21,600.00DA</t>
  </si>
  <si>
    <t>6,900fark verıldı</t>
  </si>
  <si>
    <t>vert31/blanc 4cm</t>
  </si>
  <si>
    <t>loewe 5cm noır/blanc</t>
  </si>
  <si>
    <t>GERCEK TOPLAM 26,520.00DA</t>
  </si>
  <si>
    <t>7,000fark verıldı</t>
  </si>
  <si>
    <t>MONCLAR 3RENK 3,5CM</t>
  </si>
  <si>
    <t>BANDE 2CM bnuıt/rouge</t>
  </si>
  <si>
    <t>noır/ blanc 4cm</t>
  </si>
  <si>
    <t>GERCEK TOPLAM 25.200.00DA</t>
  </si>
  <si>
    <t xml:space="preserve">col 42/9 noir blanc </t>
  </si>
  <si>
    <t xml:space="preserve">bande 4cm beige marron </t>
  </si>
  <si>
    <t>GERCEK TOPLAM 202.900,00DA</t>
  </si>
  <si>
    <t>42,000fark verıldı</t>
  </si>
  <si>
    <t>Monclair 3,5 cm 3clr</t>
  </si>
  <si>
    <t xml:space="preserve">col 42/9 BNUIT blanc </t>
  </si>
  <si>
    <t>GERCEK TOPLAM 16.200,00DA</t>
  </si>
  <si>
    <t>col 3,3cm</t>
  </si>
  <si>
    <t>14,700fark verıldı</t>
  </si>
  <si>
    <t>GUCCI 4,5CM BLANC VERT</t>
  </si>
  <si>
    <t xml:space="preserve">63.000 da prix reel </t>
  </si>
  <si>
    <t>Monclair b16</t>
  </si>
  <si>
    <t>guccı 4,5cm vert</t>
  </si>
  <si>
    <t>bande noir blanc 4cm</t>
  </si>
  <si>
    <t>bande noir jaune 2cm</t>
  </si>
  <si>
    <t>BANDE NOIR/BLANC 4,5CM</t>
  </si>
  <si>
    <t>BANDE VERT/BLANC 4,5CM</t>
  </si>
  <si>
    <t>COL NOIR GRIS B8   42/9</t>
  </si>
  <si>
    <t xml:space="preserve">ıade </t>
  </si>
  <si>
    <t>COL 42/9 VERT 188</t>
  </si>
  <si>
    <t>5 ıade</t>
  </si>
  <si>
    <t>COL 42/9 BLEU 90</t>
  </si>
  <si>
    <t>21 ıade</t>
  </si>
  <si>
    <t>COL 42/9 ROUGE M01</t>
  </si>
  <si>
    <t>KEMAL</t>
  </si>
  <si>
    <t>COL 42/9  VERT M07</t>
  </si>
  <si>
    <t>monclaır rouge/ blanc/bnuıt</t>
  </si>
  <si>
    <t>ALO 4CM</t>
  </si>
  <si>
    <t>stok(iade)</t>
  </si>
  <si>
    <t>SADE MODEL 4CM</t>
  </si>
  <si>
    <t>11 ıade</t>
  </si>
  <si>
    <t>COL 42/9 VILOET 24</t>
  </si>
  <si>
    <t>GUCCI 4,5CM B/NOIR</t>
  </si>
  <si>
    <t>GUCCI 4,5CM B/VERT</t>
  </si>
  <si>
    <t>COL 42/9 BEIGE 42</t>
  </si>
  <si>
    <t>COL BLEU90   42/9</t>
  </si>
  <si>
    <t>COL 42/9  GRIS 71</t>
  </si>
  <si>
    <t>HANİ</t>
  </si>
  <si>
    <t xml:space="preserve">LOUISVUITTON 5CM </t>
  </si>
  <si>
    <t xml:space="preserve">FENDI NOIR/BLANC 4CM </t>
  </si>
  <si>
    <t>KHALIL ELİBOL YÖN</t>
  </si>
  <si>
    <t>LACOTE</t>
  </si>
  <si>
    <t>ADET</t>
  </si>
  <si>
    <t>GERCEK TOPLAM 126,400,00DA</t>
  </si>
  <si>
    <t>GERCEK TOPLAM 128,000,00DA</t>
  </si>
  <si>
    <t>15,000fark verıldı</t>
  </si>
  <si>
    <t>BARIŞ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</si>
</sst>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dd.mm.yyyy"/>
    <numFmt numFmtId="167" formatCode="dd.MM.yyyy"/>
    <numFmt numFmtId="168" formatCode="#,##0.00;(#,##0.00)"/>
  </numFmts>
  <fonts count="10">
    <font>
      <sz val="11.0"/>
      <color theme="1"/>
      <name val="Calibri"/>
      <scheme val="minor"/>
    </font>
    <font>
      <b/>
      <sz val="18.0"/>
      <color rgb="FFFF0000"/>
      <name val="Calibri"/>
    </font>
    <font/>
    <font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3.0"/>
      <color rgb="FFFF0000"/>
      <name val="Calibri"/>
      <scheme val="minor"/>
    </font>
    <font>
      <b/>
      <sz val="13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ABF8F"/>
        <bgColor rgb="FFFABF8F"/>
      </patternFill>
    </fill>
    <fill>
      <patternFill patternType="solid">
        <fgColor rgb="FFC4BD97"/>
        <bgColor rgb="FFC4BD97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44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4" fillId="5" fontId="3" numFmtId="0" xfId="0" applyAlignment="1" applyBorder="1" applyFont="1">
      <alignment horizontal="center" vertical="center"/>
    </xf>
    <xf borderId="6" fillId="0" fontId="3" numFmtId="164" xfId="0" applyAlignment="1" applyBorder="1" applyFont="1" applyNumberForma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7" fillId="0" fontId="3" numFmtId="3" xfId="0" applyAlignment="1" applyBorder="1" applyFont="1" applyNumberFormat="1">
      <alignment horizontal="center" vertical="center"/>
    </xf>
    <xf borderId="9" fillId="0" fontId="3" numFmtId="3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0" fontId="2" numFmtId="0" xfId="0" applyBorder="1" applyFont="1"/>
    <xf borderId="10" fillId="0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3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vertical="center"/>
    </xf>
    <xf borderId="5" fillId="0" fontId="3" numFmtId="3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3" fillId="0" fontId="3" numFmtId="3" xfId="0" applyAlignment="1" applyBorder="1" applyFont="1" applyNumberForma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8" fillId="0" fontId="4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18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19" fillId="0" fontId="3" numFmtId="3" xfId="0" applyAlignment="1" applyBorder="1" applyFont="1" applyNumberFormat="1">
      <alignment horizontal="center" vertical="center"/>
    </xf>
    <xf borderId="20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0" fillId="0" fontId="4" numFmtId="0" xfId="0" applyFont="1"/>
    <xf borderId="21" fillId="0" fontId="3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6" fillId="0" fontId="5" numFmtId="165" xfId="0" applyAlignment="1" applyBorder="1" applyFont="1" applyNumberFormat="1">
      <alignment horizontal="center" readingOrder="0" vertical="center"/>
    </xf>
    <xf borderId="22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23" fillId="0" fontId="5" numFmtId="3" xfId="0" applyAlignment="1" applyBorder="1" applyFont="1" applyNumberFormat="1">
      <alignment horizontal="center" readingOrder="0" vertical="center"/>
    </xf>
    <xf borderId="9" fillId="0" fontId="5" numFmtId="3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24" fillId="0" fontId="5" numFmtId="3" xfId="0" applyAlignment="1" applyBorder="1" applyFont="1" applyNumberFormat="1">
      <alignment horizontal="center" readingOrder="0" vertical="center"/>
    </xf>
    <xf borderId="25" fillId="0" fontId="5" numFmtId="3" xfId="0" applyAlignment="1" applyBorder="1" applyFont="1" applyNumberFormat="1">
      <alignment horizontal="center" readingOrder="0" vertical="center"/>
    </xf>
    <xf borderId="7" fillId="0" fontId="5" numFmtId="3" xfId="0" applyAlignment="1" applyBorder="1" applyFont="1" applyNumberFormat="1">
      <alignment horizontal="center" readingOrder="0" vertical="center"/>
    </xf>
    <xf borderId="5" fillId="0" fontId="5" numFmtId="3" xfId="0" applyAlignment="1" applyBorder="1" applyFont="1" applyNumberFormat="1">
      <alignment horizontal="center" readingOrder="0" vertical="center"/>
    </xf>
    <xf borderId="13" fillId="0" fontId="5" numFmtId="3" xfId="0" applyAlignment="1" applyBorder="1" applyFont="1" applyNumberFormat="1">
      <alignment horizontal="center" readingOrder="0" vertical="center"/>
    </xf>
    <xf borderId="24" fillId="0" fontId="5" numFmtId="0" xfId="0" applyAlignment="1" applyBorder="1" applyFont="1">
      <alignment horizontal="center" readingOrder="0" vertical="center"/>
    </xf>
    <xf borderId="6" fillId="0" fontId="6" numFmtId="166" xfId="0" applyAlignment="1" applyBorder="1" applyFont="1" applyNumberForma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vertical="center"/>
    </xf>
    <xf borderId="7" fillId="0" fontId="6" numFmtId="3" xfId="0" applyAlignment="1" applyBorder="1" applyFont="1" applyNumberFormat="1">
      <alignment horizontal="center" readingOrder="0" vertical="center"/>
    </xf>
    <xf borderId="9" fillId="0" fontId="6" numFmtId="3" xfId="0" applyAlignment="1" applyBorder="1" applyFont="1" applyNumberForma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5" fillId="0" fontId="6" numFmtId="3" xfId="0" applyAlignment="1" applyBorder="1" applyFont="1" applyNumberForma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vertical="center"/>
    </xf>
    <xf borderId="13" fillId="0" fontId="6" numFmtId="3" xfId="0" applyAlignment="1" applyBorder="1" applyFont="1" applyNumberFormat="1">
      <alignment horizontal="center" readingOrder="0" vertical="center"/>
    </xf>
    <xf borderId="18" fillId="0" fontId="6" numFmtId="165" xfId="0" applyAlignment="1" applyBorder="1" applyFont="1" applyNumberFormat="1">
      <alignment horizontal="center" readingOrder="0" vertical="center"/>
    </xf>
    <xf borderId="19" fillId="0" fontId="6" numFmtId="0" xfId="0" applyAlignment="1" applyBorder="1" applyFont="1">
      <alignment horizontal="center" readingOrder="0" vertical="center"/>
    </xf>
    <xf borderId="26" fillId="0" fontId="3" numFmtId="164" xfId="0" applyAlignment="1" applyBorder="1" applyFont="1" applyNumberFormat="1">
      <alignment horizontal="center" readingOrder="0" vertical="center"/>
    </xf>
    <xf borderId="19" fillId="0" fontId="6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readingOrder="0" vertical="center"/>
    </xf>
    <xf borderId="19" fillId="0" fontId="6" numFmtId="3" xfId="0" applyAlignment="1" applyBorder="1" applyFont="1" applyNumberFormat="1">
      <alignment horizontal="center" readingOrder="0" vertical="center"/>
    </xf>
    <xf borderId="20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6" fillId="0" fontId="6" numFmtId="165" xfId="0" applyAlignment="1" applyBorder="1" applyFont="1" applyNumberFormat="1">
      <alignment horizontal="center" readingOrder="0" vertical="center"/>
    </xf>
    <xf borderId="28" fillId="0" fontId="2" numFmtId="0" xfId="0" applyBorder="1" applyFont="1"/>
    <xf borderId="29" fillId="0" fontId="3" numFmtId="0" xfId="0" applyAlignment="1" applyBorder="1" applyFont="1">
      <alignment horizontal="center" readingOrder="0" vertical="center"/>
    </xf>
    <xf borderId="26" fillId="0" fontId="5" numFmtId="166" xfId="0" applyAlignment="1" applyBorder="1" applyFont="1" applyNumberFormat="1">
      <alignment horizontal="center" readingOrder="0" vertical="center"/>
    </xf>
    <xf borderId="30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31" fillId="0" fontId="5" numFmtId="0" xfId="0" applyAlignment="1" applyBorder="1" applyFont="1">
      <alignment horizontal="center" readingOrder="0" vertical="center"/>
    </xf>
    <xf borderId="32" fillId="0" fontId="2" numFmtId="0" xfId="0" applyBorder="1" applyFont="1"/>
    <xf borderId="8" fillId="0" fontId="5" numFmtId="3" xfId="0" applyAlignment="1" applyBorder="1" applyFont="1" applyNumberFormat="1">
      <alignment horizontal="center" readingOrder="0" vertical="center"/>
    </xf>
    <xf borderId="33" fillId="0" fontId="5" numFmtId="0" xfId="0" applyAlignment="1" applyBorder="1" applyFont="1">
      <alignment horizontal="center" readingOrder="0" vertical="center"/>
    </xf>
    <xf borderId="29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readingOrder="0" vertical="center"/>
    </xf>
    <xf borderId="26" fillId="0" fontId="6" numFmtId="165" xfId="0" applyAlignment="1" applyBorder="1" applyFont="1" applyNumberFormat="1">
      <alignment horizontal="center" readingOrder="0" vertical="center"/>
    </xf>
    <xf borderId="30" fillId="0" fontId="6" numFmtId="0" xfId="0" applyAlignment="1" applyBorder="1" applyFont="1">
      <alignment horizontal="center" readingOrder="0" vertical="center"/>
    </xf>
    <xf borderId="29" fillId="0" fontId="6" numFmtId="0" xfId="0" applyAlignment="1" applyBorder="1" applyFont="1">
      <alignment horizontal="center" readingOrder="0" vertical="center"/>
    </xf>
    <xf borderId="0" fillId="6" fontId="7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center" readingOrder="0" vertical="center"/>
    </xf>
    <xf borderId="6" fillId="0" fontId="6" numFmtId="167" xfId="0" applyAlignment="1" applyBorder="1" applyFont="1" applyNumberFormat="1">
      <alignment horizontal="center" readingOrder="0" vertical="center"/>
    </xf>
    <xf borderId="34" fillId="0" fontId="6" numFmtId="165" xfId="0" applyAlignment="1" applyBorder="1" applyFont="1" applyNumberForma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35" fillId="0" fontId="6" numFmtId="0" xfId="0" applyAlignment="1" applyBorder="1" applyFont="1">
      <alignment horizontal="center" readingOrder="0" vertical="center"/>
    </xf>
    <xf borderId="36" fillId="0" fontId="6" numFmtId="165" xfId="0" applyAlignment="1" applyBorder="1" applyFont="1" applyNumberFormat="1">
      <alignment horizontal="center" readingOrder="0" vertical="center"/>
    </xf>
    <xf borderId="36" fillId="0" fontId="6" numFmtId="0" xfId="0" applyAlignment="1" applyBorder="1" applyFont="1">
      <alignment horizontal="center" readingOrder="0" vertical="center"/>
    </xf>
    <xf borderId="36" fillId="0" fontId="6" numFmtId="0" xfId="0" applyAlignment="1" applyBorder="1" applyFont="1">
      <alignment horizontal="center" vertical="center"/>
    </xf>
    <xf borderId="36" fillId="0" fontId="6" numFmtId="3" xfId="0" applyAlignment="1" applyBorder="1" applyFont="1" applyNumberFormat="1">
      <alignment horizontal="center" readingOrder="0" vertical="center"/>
    </xf>
    <xf borderId="20" fillId="0" fontId="6" numFmtId="0" xfId="0" applyAlignment="1" applyBorder="1" applyFont="1">
      <alignment horizontal="center" vertical="center"/>
    </xf>
    <xf borderId="21" fillId="0" fontId="3" numFmtId="3" xfId="0" applyAlignment="1" applyBorder="1" applyFont="1" applyNumberFormat="1">
      <alignment horizontal="center" vertical="center"/>
    </xf>
    <xf borderId="16" fillId="2" fontId="6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 vertical="center"/>
    </xf>
    <xf borderId="16" fillId="0" fontId="6" numFmtId="3" xfId="0" applyAlignment="1" applyBorder="1" applyFont="1" applyNumberFormat="1">
      <alignment horizontal="center" readingOrder="0" vertical="center"/>
    </xf>
    <xf borderId="5" fillId="7" fontId="6" numFmtId="0" xfId="0" applyAlignment="1" applyBorder="1" applyFill="1" applyFont="1">
      <alignment horizontal="center" readingOrder="0" vertical="center"/>
    </xf>
    <xf borderId="21" fillId="0" fontId="6" numFmtId="0" xfId="0" applyAlignment="1" applyBorder="1" applyFont="1">
      <alignment horizontal="center" readingOrder="0" vertical="center"/>
    </xf>
    <xf borderId="5" fillId="0" fontId="6" numFmtId="165" xfId="0" applyAlignment="1" applyBorder="1" applyFont="1" applyNumberFormat="1">
      <alignment horizontal="center" readingOrder="0" vertical="center"/>
    </xf>
    <xf borderId="18" fillId="0" fontId="6" numFmtId="165" xfId="0" applyAlignment="1" applyBorder="1" applyFont="1" applyNumberFormat="1">
      <alignment readingOrder="0"/>
    </xf>
    <xf borderId="8" fillId="0" fontId="6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37" fillId="0" fontId="6" numFmtId="0" xfId="0" applyBorder="1" applyFont="1"/>
    <xf borderId="18" fillId="0" fontId="5" numFmtId="165" xfId="0" applyAlignment="1" applyBorder="1" applyFont="1" applyNumberFormat="1">
      <alignment horizontal="center" readingOrder="0" vertical="center"/>
    </xf>
    <xf borderId="19" fillId="0" fontId="5" numFmtId="0" xfId="0" applyAlignment="1" applyBorder="1" applyFont="1">
      <alignment horizontal="center" readingOrder="0" vertical="center"/>
    </xf>
    <xf borderId="19" fillId="0" fontId="5" numFmtId="0" xfId="0" applyAlignment="1" applyBorder="1" applyFont="1">
      <alignment horizontal="center" vertical="center"/>
    </xf>
    <xf borderId="19" fillId="0" fontId="5" numFmtId="3" xfId="0" applyAlignment="1" applyBorder="1" applyFont="1" applyNumberFormat="1">
      <alignment horizontal="center" readingOrder="0" vertical="center"/>
    </xf>
    <xf borderId="13" fillId="2" fontId="6" numFmtId="0" xfId="0" applyAlignment="1" applyBorder="1" applyFont="1">
      <alignment horizontal="center" readingOrder="0" vertical="center"/>
    </xf>
    <xf borderId="6" fillId="0" fontId="0" numFmtId="165" xfId="0" applyAlignment="1" applyBorder="1" applyFont="1" applyNumberFormat="1">
      <alignment horizontal="center" readingOrder="0" vertical="center"/>
    </xf>
    <xf borderId="24" fillId="0" fontId="6" numFmtId="0" xfId="0" applyAlignment="1" applyBorder="1" applyFont="1">
      <alignment horizontal="center" readingOrder="0" vertical="center"/>
    </xf>
    <xf borderId="38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39" fillId="0" fontId="6" numFmtId="0" xfId="0" applyAlignment="1" applyBorder="1" applyFont="1">
      <alignment horizontal="center" readingOrder="0" vertical="center"/>
    </xf>
    <xf borderId="18" fillId="0" fontId="6" numFmtId="166" xfId="0" applyAlignment="1" applyBorder="1" applyFont="1" applyNumberForma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readingOrder="0" vertical="center"/>
    </xf>
    <xf borderId="13" fillId="7" fontId="6" numFmtId="0" xfId="0" applyAlignment="1" applyBorder="1" applyFont="1">
      <alignment horizontal="center" readingOrder="0" vertical="center"/>
    </xf>
    <xf borderId="0" fillId="6" fontId="9" numFmtId="0" xfId="0" applyAlignment="1" applyFont="1">
      <alignment horizontal="center" readingOrder="0" vertical="center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horizontal="center"/>
    </xf>
    <xf borderId="0" fillId="0" fontId="6" numFmtId="165" xfId="0" applyAlignment="1" applyFont="1" applyNumberFormat="1">
      <alignment horizontal="center" readingOrder="0" vertical="center"/>
    </xf>
    <xf borderId="0" fillId="3" fontId="3" numFmtId="0" xfId="0" applyAlignment="1" applyFont="1">
      <alignment horizontal="center" vertical="center"/>
    </xf>
    <xf borderId="19" fillId="0" fontId="6" numFmtId="0" xfId="0" applyAlignment="1" applyBorder="1" applyFont="1">
      <alignment horizontal="center" readingOrder="0"/>
    </xf>
    <xf borderId="19" fillId="0" fontId="6" numFmtId="0" xfId="0" applyBorder="1" applyFont="1"/>
    <xf borderId="1" fillId="2" fontId="1" numFmtId="0" xfId="0" applyAlignment="1" applyBorder="1" applyFont="1">
      <alignment horizontal="center" readingOrder="0"/>
    </xf>
    <xf borderId="19" fillId="0" fontId="6" numFmtId="168" xfId="0" applyAlignment="1" applyBorder="1" applyFont="1" applyNumberFormat="1">
      <alignment horizontal="center" readingOrder="0" vertical="center"/>
    </xf>
    <xf borderId="20" fillId="0" fontId="6" numFmtId="0" xfId="0" applyAlignment="1" applyBorder="1" applyFont="1">
      <alignment horizontal="center" readingOrder="0"/>
    </xf>
    <xf borderId="40" fillId="0" fontId="6" numFmtId="0" xfId="0" applyAlignment="1" applyBorder="1" applyFont="1">
      <alignment horizontal="center" readingOrder="0" vertical="center"/>
    </xf>
    <xf borderId="41" fillId="0" fontId="2" numFmtId="0" xfId="0" applyBorder="1" applyFont="1"/>
    <xf borderId="19" fillId="0" fontId="6" numFmtId="165" xfId="0" applyAlignment="1" applyBorder="1" applyFont="1" applyNumberFormat="1">
      <alignment horizontal="center" readingOrder="0" vertical="center"/>
    </xf>
    <xf borderId="7" fillId="0" fontId="6" numFmtId="165" xfId="0" applyAlignment="1" applyBorder="1" applyFont="1" applyNumberFormat="1">
      <alignment horizontal="center" readingOrder="0" vertical="center"/>
    </xf>
    <xf borderId="42" fillId="0" fontId="6" numFmtId="3" xfId="0" applyAlignment="1" applyBorder="1" applyFont="1" applyNumberFormat="1">
      <alignment horizontal="center" readingOrder="0" vertical="center"/>
    </xf>
    <xf borderId="36" fillId="0" fontId="6" numFmtId="3" xfId="0" applyAlignment="1" applyBorder="1" applyFont="1" applyNumberFormat="1">
      <alignment readingOrder="0"/>
    </xf>
    <xf borderId="43" fillId="0" fontId="4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horizontal="center" readingOrder="0" vertical="center"/>
    </xf>
    <xf borderId="7" fillId="0" fontId="6" numFmtId="4" xfId="0" applyAlignment="1" applyBorder="1" applyFont="1" applyNumberFormat="1">
      <alignment horizontal="center" readingOrder="0" vertical="center"/>
    </xf>
    <xf borderId="5" fillId="0" fontId="6" numFmtId="0" xfId="0" applyBorder="1" applyFont="1"/>
    <xf borderId="9" fillId="0" fontId="6" numFmtId="4" xfId="0" applyAlignment="1" applyBorder="1" applyFont="1" applyNumberFormat="1">
      <alignment horizontal="center" readingOrder="0" vertical="center"/>
    </xf>
    <xf borderId="13" fillId="0" fontId="6" numFmtId="4" xfId="0" applyAlignment="1" applyBorder="1" applyFont="1" applyNumberFormat="1">
      <alignment horizontal="center" readingOrder="0" vertical="center"/>
    </xf>
    <xf borderId="0" fillId="0" fontId="6" numFmtId="4" xfId="0" applyAlignment="1" applyFont="1" applyNumberFormat="1">
      <alignment horizontal="center" vertical="center"/>
    </xf>
    <xf borderId="8" fillId="0" fontId="3" numFmtId="164" xfId="0" applyAlignment="1" applyBorder="1" applyFont="1" applyNumberFormat="1">
      <alignment horizontal="center" readingOrder="0" vertical="center"/>
    </xf>
    <xf borderId="19" fillId="0" fontId="6" numFmtId="4" xfId="0" applyAlignment="1" applyBorder="1" applyFont="1" applyNumberFormat="1">
      <alignment horizontal="center" readingOrder="0" vertical="center"/>
    </xf>
    <xf borderId="21" fillId="0" fontId="2" numFmtId="0" xfId="0" applyBorder="1" applyFont="1"/>
    <xf borderId="8" fillId="0" fontId="6" numFmtId="165" xfId="0" applyAlignment="1" applyBorder="1" applyFont="1" applyNumberFormat="1">
      <alignment horizontal="center" readingOrder="0" vertical="center"/>
    </xf>
    <xf borderId="5" fillId="0" fontId="6" numFmtId="4" xfId="0" applyAlignment="1" applyBorder="1" applyFont="1" applyNumberFormat="1">
      <alignment horizontal="center" readingOrder="0" vertical="center"/>
    </xf>
    <xf borderId="8" fillId="0" fontId="6" numFmtId="4" xfId="0" applyAlignment="1" applyBorder="1" applyFont="1" applyNumberFormat="1">
      <alignment horizontal="center" readingOrder="0" vertical="center"/>
    </xf>
    <xf borderId="0" fillId="6" fontId="6" numFmtId="0" xfId="0" applyAlignment="1" applyFont="1">
      <alignment readingOrder="0"/>
    </xf>
    <xf borderId="5" fillId="0" fontId="3" numFmtId="164" xfId="0" applyAlignment="1" applyBorder="1" applyFont="1" applyNumberFormat="1">
      <alignment horizontal="center" vertical="center"/>
    </xf>
    <xf borderId="18" fillId="0" fontId="3" numFmtId="164" xfId="0" applyAlignment="1" applyBorder="1" applyFont="1" applyNumberFormat="1">
      <alignment horizontal="center" vertical="center"/>
    </xf>
    <xf borderId="19" fillId="0" fontId="3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/>
    </xf>
    <xf borderId="7" fillId="0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0.71"/>
    <col customWidth="1" min="3" max="3" width="26.0"/>
    <col customWidth="1" min="4" max="4" width="13.43"/>
    <col customWidth="1" min="5" max="5" width="10.71"/>
    <col customWidth="1" min="6" max="6" width="12.29"/>
    <col customWidth="1" min="7" max="26" width="10.71"/>
  </cols>
  <sheetData>
    <row r="1" ht="22.5" customHeight="1">
      <c r="B1" s="7" t="s">
        <v>3</v>
      </c>
      <c r="C1" s="2"/>
      <c r="D1" s="2"/>
      <c r="E1" s="2"/>
      <c r="F1" s="2"/>
      <c r="G1" s="2"/>
      <c r="H1" s="2"/>
      <c r="I1" s="3"/>
    </row>
    <row r="2">
      <c r="B2" s="4" t="s">
        <v>4</v>
      </c>
      <c r="C2" s="11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6" t="s">
        <v>11</v>
      </c>
    </row>
    <row r="3">
      <c r="B3" s="9">
        <v>46025.0</v>
      </c>
      <c r="C3" s="10" t="s">
        <v>15</v>
      </c>
      <c r="D3" s="10">
        <v>500.0</v>
      </c>
      <c r="E3" s="12"/>
      <c r="F3" s="10">
        <v>50.0</v>
      </c>
      <c r="G3" s="17">
        <f t="shared" ref="G3:G5" si="1">+F3*D3</f>
        <v>25000</v>
      </c>
      <c r="H3" s="18">
        <f>+G3+G4+G5</f>
        <v>52000</v>
      </c>
      <c r="I3" s="19">
        <v>166.0</v>
      </c>
    </row>
    <row r="4">
      <c r="B4" s="20"/>
      <c r="C4" s="8" t="s">
        <v>19</v>
      </c>
      <c r="D4" s="8">
        <v>400.0</v>
      </c>
      <c r="E4" s="22"/>
      <c r="F4" s="8">
        <v>50.0</v>
      </c>
      <c r="G4" s="26">
        <f t="shared" si="1"/>
        <v>20000</v>
      </c>
      <c r="H4" s="27"/>
      <c r="I4" s="28"/>
    </row>
    <row r="5">
      <c r="B5" s="23"/>
      <c r="C5" s="33" t="s">
        <v>22</v>
      </c>
      <c r="D5" s="33">
        <v>140.0</v>
      </c>
      <c r="E5" s="25"/>
      <c r="F5" s="33">
        <v>50.0</v>
      </c>
      <c r="G5" s="29">
        <f t="shared" si="1"/>
        <v>7000</v>
      </c>
      <c r="H5" s="30"/>
      <c r="I5" s="31"/>
    </row>
    <row r="6">
      <c r="B6" s="35"/>
      <c r="C6" s="36"/>
      <c r="D6" s="36"/>
      <c r="E6" s="37"/>
      <c r="F6" s="36"/>
      <c r="G6" s="38"/>
      <c r="H6" s="38"/>
      <c r="I6" s="35"/>
    </row>
    <row r="7">
      <c r="B7" s="9">
        <v>46026.0</v>
      </c>
      <c r="C7" s="10" t="s">
        <v>15</v>
      </c>
      <c r="D7" s="10">
        <v>1000.0</v>
      </c>
      <c r="E7" s="12"/>
      <c r="F7" s="10">
        <v>50.0</v>
      </c>
      <c r="G7" s="17">
        <f t="shared" ref="G7:G8" si="2">+F7*D7</f>
        <v>50000</v>
      </c>
      <c r="H7" s="18">
        <f>+G7+G8</f>
        <v>70000</v>
      </c>
      <c r="I7" s="19">
        <v>170.0</v>
      </c>
    </row>
    <row r="8">
      <c r="B8" s="23"/>
      <c r="C8" s="33" t="s">
        <v>19</v>
      </c>
      <c r="D8" s="33">
        <v>400.0</v>
      </c>
      <c r="E8" s="25"/>
      <c r="F8" s="33">
        <v>50.0</v>
      </c>
      <c r="G8" s="29">
        <f t="shared" si="2"/>
        <v>20000</v>
      </c>
      <c r="H8" s="30"/>
      <c r="I8" s="31"/>
    </row>
    <row r="9">
      <c r="B9" s="35"/>
      <c r="C9" s="36"/>
      <c r="D9" s="36"/>
      <c r="E9" s="37"/>
      <c r="F9" s="36"/>
      <c r="G9" s="38"/>
      <c r="H9" s="38"/>
      <c r="I9" s="35"/>
    </row>
    <row r="10">
      <c r="B10" s="14">
        <v>46027.0</v>
      </c>
      <c r="C10" s="10" t="s">
        <v>15</v>
      </c>
      <c r="D10" s="15">
        <v>900.0</v>
      </c>
      <c r="E10" s="12"/>
      <c r="F10" s="10">
        <v>50.0</v>
      </c>
      <c r="G10" s="17">
        <f t="shared" ref="G10:G15" si="3">+F10*D10</f>
        <v>45000</v>
      </c>
      <c r="H10" s="18">
        <f>G10+G11+G12+G13+G14+G15</f>
        <v>115000</v>
      </c>
      <c r="I10" s="21">
        <v>173.0</v>
      </c>
    </row>
    <row r="11">
      <c r="B11" s="20"/>
      <c r="C11" s="40" t="s">
        <v>29</v>
      </c>
      <c r="D11" s="40">
        <v>300.0</v>
      </c>
      <c r="E11" s="22"/>
      <c r="F11" s="8">
        <v>50.0</v>
      </c>
      <c r="G11" s="26">
        <f t="shared" si="3"/>
        <v>15000</v>
      </c>
      <c r="H11" s="27"/>
      <c r="I11" s="28"/>
    </row>
    <row r="12">
      <c r="B12" s="20"/>
      <c r="C12" s="45" t="s">
        <v>32</v>
      </c>
      <c r="D12" s="45">
        <v>300.0</v>
      </c>
      <c r="E12" s="32"/>
      <c r="F12" s="8">
        <v>50.0</v>
      </c>
      <c r="G12" s="26">
        <f t="shared" si="3"/>
        <v>15000</v>
      </c>
      <c r="H12" s="27"/>
      <c r="I12" s="28"/>
    </row>
    <row r="13">
      <c r="B13" s="20"/>
      <c r="C13" s="45" t="s">
        <v>34</v>
      </c>
      <c r="D13" s="45">
        <v>300.0</v>
      </c>
      <c r="E13" s="32"/>
      <c r="F13" s="8">
        <v>50.0</v>
      </c>
      <c r="G13" s="26">
        <f t="shared" si="3"/>
        <v>15000</v>
      </c>
      <c r="H13" s="27"/>
      <c r="I13" s="28"/>
    </row>
    <row r="14">
      <c r="B14" s="20"/>
      <c r="C14" s="45" t="s">
        <v>28</v>
      </c>
      <c r="D14" s="45">
        <v>300.0</v>
      </c>
      <c r="E14" s="32"/>
      <c r="F14" s="8">
        <v>50.0</v>
      </c>
      <c r="G14" s="26">
        <f t="shared" si="3"/>
        <v>15000</v>
      </c>
      <c r="H14" s="27"/>
      <c r="I14" s="28"/>
    </row>
    <row r="15">
      <c r="B15" s="23"/>
      <c r="C15" s="24" t="s">
        <v>35</v>
      </c>
      <c r="D15" s="24">
        <v>200.0</v>
      </c>
      <c r="E15" s="25"/>
      <c r="F15" s="33">
        <v>50.0</v>
      </c>
      <c r="G15" s="29">
        <f t="shared" si="3"/>
        <v>10000</v>
      </c>
      <c r="H15" s="30"/>
      <c r="I15" s="31"/>
    </row>
    <row r="17">
      <c r="B17" s="14">
        <v>46028.0</v>
      </c>
      <c r="C17" s="24" t="s">
        <v>37</v>
      </c>
      <c r="D17" s="15">
        <v>100.0</v>
      </c>
      <c r="E17" s="12"/>
      <c r="F17" s="10">
        <v>50.0</v>
      </c>
      <c r="G17" s="17">
        <f t="shared" ref="G17:G22" si="4">+F17*D17</f>
        <v>5000</v>
      </c>
      <c r="H17" s="18">
        <f>G17+G18+G19+G20+G21+G22</f>
        <v>40000</v>
      </c>
      <c r="I17" s="21">
        <v>175.0</v>
      </c>
    </row>
    <row r="18">
      <c r="B18" s="20"/>
      <c r="C18" s="40" t="s">
        <v>40</v>
      </c>
      <c r="D18" s="40">
        <v>100.0</v>
      </c>
      <c r="E18" s="22"/>
      <c r="F18" s="8">
        <v>50.0</v>
      </c>
      <c r="G18" s="26">
        <f t="shared" si="4"/>
        <v>5000</v>
      </c>
      <c r="H18" s="27"/>
      <c r="I18" s="28"/>
    </row>
    <row r="19">
      <c r="B19" s="20"/>
      <c r="C19" s="45" t="s">
        <v>32</v>
      </c>
      <c r="D19" s="45">
        <v>100.0</v>
      </c>
      <c r="E19" s="32"/>
      <c r="F19" s="8">
        <v>50.0</v>
      </c>
      <c r="G19" s="26">
        <f t="shared" si="4"/>
        <v>5000</v>
      </c>
      <c r="H19" s="27"/>
      <c r="I19" s="28"/>
    </row>
    <row r="20">
      <c r="B20" s="20"/>
      <c r="C20" s="45" t="s">
        <v>34</v>
      </c>
      <c r="D20" s="45">
        <v>200.0</v>
      </c>
      <c r="E20" s="32"/>
      <c r="F20" s="8">
        <v>50.0</v>
      </c>
      <c r="G20" s="26">
        <f t="shared" si="4"/>
        <v>10000</v>
      </c>
      <c r="H20" s="27"/>
      <c r="I20" s="28"/>
    </row>
    <row r="21">
      <c r="B21" s="20"/>
      <c r="C21" s="45" t="s">
        <v>28</v>
      </c>
      <c r="D21" s="45">
        <v>200.0</v>
      </c>
      <c r="E21" s="32"/>
      <c r="F21" s="8">
        <v>50.0</v>
      </c>
      <c r="G21" s="26">
        <f t="shared" si="4"/>
        <v>10000</v>
      </c>
      <c r="H21" s="27"/>
      <c r="I21" s="28"/>
    </row>
    <row r="22">
      <c r="B22" s="23"/>
      <c r="C22" s="24" t="s">
        <v>35</v>
      </c>
      <c r="D22" s="24">
        <v>100.0</v>
      </c>
      <c r="E22" s="25"/>
      <c r="F22" s="33">
        <v>50.0</v>
      </c>
      <c r="G22" s="29">
        <f t="shared" si="4"/>
        <v>5000</v>
      </c>
      <c r="H22" s="30"/>
      <c r="I22" s="31"/>
    </row>
    <row r="24" ht="15.75" customHeight="1">
      <c r="B24" s="14">
        <v>46030.0</v>
      </c>
      <c r="C24" s="24" t="s">
        <v>37</v>
      </c>
      <c r="D24" s="15">
        <v>100.0</v>
      </c>
      <c r="E24" s="12"/>
      <c r="F24" s="10">
        <v>50.0</v>
      </c>
      <c r="G24" s="17">
        <f t="shared" ref="G24:G30" si="5">+F24*D24</f>
        <v>5000</v>
      </c>
      <c r="H24" s="18">
        <f>G24+G25+G26+G27+G28+G30+G29</f>
        <v>130000</v>
      </c>
      <c r="I24" s="21">
        <v>177.0</v>
      </c>
    </row>
    <row r="25" ht="15.75" customHeight="1">
      <c r="B25" s="20"/>
      <c r="C25" s="40" t="s">
        <v>40</v>
      </c>
      <c r="D25" s="40">
        <v>300.0</v>
      </c>
      <c r="E25" s="22"/>
      <c r="F25" s="8">
        <v>50.0</v>
      </c>
      <c r="G25" s="26">
        <f t="shared" si="5"/>
        <v>15000</v>
      </c>
      <c r="H25" s="27"/>
      <c r="I25" s="28"/>
    </row>
    <row r="26" ht="15.75" customHeight="1">
      <c r="B26" s="20"/>
      <c r="C26" s="45" t="s">
        <v>32</v>
      </c>
      <c r="D26" s="45">
        <v>100.0</v>
      </c>
      <c r="E26" s="32"/>
      <c r="F26" s="8">
        <v>50.0</v>
      </c>
      <c r="G26" s="26">
        <f t="shared" si="5"/>
        <v>5000</v>
      </c>
      <c r="H26" s="27"/>
      <c r="I26" s="28"/>
    </row>
    <row r="27" ht="15.75" customHeight="1">
      <c r="B27" s="20"/>
      <c r="C27" s="45" t="s">
        <v>34</v>
      </c>
      <c r="D27" s="45">
        <v>1000.0</v>
      </c>
      <c r="E27" s="32"/>
      <c r="F27" s="8">
        <v>50.0</v>
      </c>
      <c r="G27" s="26">
        <f t="shared" si="5"/>
        <v>50000</v>
      </c>
      <c r="H27" s="27"/>
      <c r="I27" s="28"/>
    </row>
    <row r="28" ht="15.75" customHeight="1">
      <c r="B28" s="20"/>
      <c r="C28" s="45" t="s">
        <v>28</v>
      </c>
      <c r="D28" s="45">
        <v>300.0</v>
      </c>
      <c r="E28" s="32"/>
      <c r="F28" s="8">
        <v>50.0</v>
      </c>
      <c r="G28" s="26">
        <f t="shared" si="5"/>
        <v>15000</v>
      </c>
      <c r="H28" s="27"/>
      <c r="I28" s="28"/>
    </row>
    <row r="29" ht="15.75" customHeight="1">
      <c r="B29" s="20"/>
      <c r="C29" s="45" t="s">
        <v>46</v>
      </c>
      <c r="D29" s="45">
        <v>100.0</v>
      </c>
      <c r="E29" s="32"/>
      <c r="F29" s="45">
        <v>50.0</v>
      </c>
      <c r="G29" s="26">
        <f t="shared" si="5"/>
        <v>5000</v>
      </c>
      <c r="H29" s="27"/>
      <c r="I29" s="28"/>
    </row>
    <row r="30" ht="15.75" customHeight="1">
      <c r="B30" s="23"/>
      <c r="C30" s="24" t="s">
        <v>48</v>
      </c>
      <c r="D30" s="24">
        <v>700.0</v>
      </c>
      <c r="E30" s="25"/>
      <c r="F30" s="33">
        <v>50.0</v>
      </c>
      <c r="G30" s="29">
        <f t="shared" si="5"/>
        <v>35000</v>
      </c>
      <c r="H30" s="30"/>
      <c r="I30" s="31"/>
    </row>
    <row r="31" ht="15.75" customHeight="1"/>
    <row r="32" ht="15.75" customHeight="1">
      <c r="B32" s="14">
        <v>46033.0</v>
      </c>
      <c r="C32" s="24" t="s">
        <v>37</v>
      </c>
      <c r="D32" s="15">
        <v>100.0</v>
      </c>
      <c r="E32" s="12"/>
      <c r="F32" s="10">
        <v>50.0</v>
      </c>
      <c r="G32" s="17">
        <f t="shared" ref="G32:G34" si="6">+F32*D32</f>
        <v>5000</v>
      </c>
      <c r="H32" s="18">
        <f>+G32+G33+G34</f>
        <v>30000</v>
      </c>
      <c r="I32" s="21">
        <v>185.0</v>
      </c>
    </row>
    <row r="33" ht="15.75" customHeight="1">
      <c r="B33" s="20"/>
      <c r="C33" s="40" t="s">
        <v>46</v>
      </c>
      <c r="D33" s="40">
        <v>100.0</v>
      </c>
      <c r="E33" s="22"/>
      <c r="F33" s="8">
        <v>50.0</v>
      </c>
      <c r="G33" s="26">
        <f t="shared" si="6"/>
        <v>5000</v>
      </c>
      <c r="H33" s="27"/>
      <c r="I33" s="28"/>
    </row>
    <row r="34" ht="15.75" customHeight="1">
      <c r="B34" s="23"/>
      <c r="C34" s="24" t="s">
        <v>51</v>
      </c>
      <c r="D34" s="24">
        <v>400.0</v>
      </c>
      <c r="E34" s="25"/>
      <c r="F34" s="33">
        <v>50.0</v>
      </c>
      <c r="G34" s="29">
        <f t="shared" si="6"/>
        <v>20000</v>
      </c>
      <c r="H34" s="30"/>
      <c r="I34" s="31"/>
    </row>
    <row r="35" ht="15.75" customHeight="1"/>
    <row r="36" ht="15.75" customHeight="1">
      <c r="B36" s="14">
        <v>46035.0</v>
      </c>
      <c r="C36" s="24" t="s">
        <v>53</v>
      </c>
      <c r="D36" s="15">
        <v>300.0</v>
      </c>
      <c r="E36" s="12"/>
      <c r="F36" s="10">
        <v>50.0</v>
      </c>
      <c r="G36" s="17">
        <f t="shared" ref="G36:G37" si="7">+F36*D36</f>
        <v>15000</v>
      </c>
      <c r="H36" s="18">
        <f>G36+G37</f>
        <v>25000</v>
      </c>
      <c r="I36" s="21">
        <v>187.0</v>
      </c>
    </row>
    <row r="37" ht="15.75" customHeight="1">
      <c r="B37" s="23"/>
      <c r="C37" s="24" t="s">
        <v>51</v>
      </c>
      <c r="D37" s="24">
        <v>200.0</v>
      </c>
      <c r="E37" s="25"/>
      <c r="F37" s="33">
        <v>50.0</v>
      </c>
      <c r="G37" s="29">
        <f t="shared" si="7"/>
        <v>10000</v>
      </c>
      <c r="H37" s="30"/>
      <c r="I37" s="31"/>
    </row>
    <row r="38" ht="15.75" customHeight="1"/>
    <row r="39" ht="15.75" customHeight="1">
      <c r="B39" s="14">
        <v>46040.0</v>
      </c>
      <c r="C39" s="24" t="s">
        <v>53</v>
      </c>
      <c r="D39" s="15">
        <v>300.0</v>
      </c>
      <c r="E39" s="12"/>
      <c r="F39" s="10">
        <v>50.0</v>
      </c>
      <c r="G39" s="17">
        <f t="shared" ref="G39:G41" si="8">+F39*D39</f>
        <v>15000</v>
      </c>
      <c r="H39" s="18">
        <f>+G39+G40+G41</f>
        <v>60000</v>
      </c>
      <c r="I39" s="21">
        <v>189.0</v>
      </c>
    </row>
    <row r="40" ht="15.75" customHeight="1">
      <c r="B40" s="20"/>
      <c r="C40" s="24" t="s">
        <v>51</v>
      </c>
      <c r="D40" s="40">
        <v>400.0</v>
      </c>
      <c r="E40" s="22"/>
      <c r="F40" s="8">
        <v>50.0</v>
      </c>
      <c r="G40" s="26">
        <f t="shared" si="8"/>
        <v>20000</v>
      </c>
      <c r="H40" s="27"/>
      <c r="I40" s="28"/>
    </row>
    <row r="41" ht="15.75" customHeight="1">
      <c r="B41" s="23"/>
      <c r="C41" s="24" t="s">
        <v>57</v>
      </c>
      <c r="D41" s="24">
        <v>500.0</v>
      </c>
      <c r="E41" s="25"/>
      <c r="F41" s="33">
        <v>50.0</v>
      </c>
      <c r="G41" s="29">
        <f t="shared" si="8"/>
        <v>25000</v>
      </c>
      <c r="H41" s="30"/>
      <c r="I41" s="31"/>
    </row>
    <row r="42" ht="15.75" customHeight="1"/>
    <row r="43" ht="15.75" customHeight="1">
      <c r="B43" s="14">
        <v>46042.0</v>
      </c>
      <c r="C43" s="24" t="s">
        <v>53</v>
      </c>
      <c r="D43" s="15">
        <v>600.0</v>
      </c>
      <c r="E43" s="12"/>
      <c r="F43" s="10">
        <v>50.0</v>
      </c>
      <c r="G43" s="17">
        <f t="shared" ref="G43:G47" si="9">+F43*D43</f>
        <v>30000</v>
      </c>
      <c r="H43" s="18">
        <f>+G43+G46+G47+G44+G45</f>
        <v>60000</v>
      </c>
      <c r="I43" s="21">
        <v>195.0</v>
      </c>
    </row>
    <row r="44" ht="15.75" customHeight="1">
      <c r="B44" s="20"/>
      <c r="C44" s="24" t="s">
        <v>63</v>
      </c>
      <c r="D44" s="47">
        <v>100.0</v>
      </c>
      <c r="E44" s="48"/>
      <c r="F44" s="10">
        <v>50.0</v>
      </c>
      <c r="G44" s="17">
        <f t="shared" si="9"/>
        <v>5000</v>
      </c>
      <c r="H44" s="27"/>
      <c r="I44" s="28"/>
    </row>
    <row r="45" ht="15.75" customHeight="1">
      <c r="B45" s="20"/>
      <c r="C45" s="24" t="s">
        <v>65</v>
      </c>
      <c r="D45" s="47">
        <v>200.0</v>
      </c>
      <c r="E45" s="48"/>
      <c r="F45" s="10">
        <v>50.0</v>
      </c>
      <c r="G45" s="17">
        <f t="shared" si="9"/>
        <v>10000</v>
      </c>
      <c r="H45" s="27"/>
      <c r="I45" s="28"/>
    </row>
    <row r="46" ht="15.75" customHeight="1">
      <c r="B46" s="20"/>
      <c r="C46" s="24" t="s">
        <v>51</v>
      </c>
      <c r="D46" s="40">
        <v>200.0</v>
      </c>
      <c r="E46" s="22"/>
      <c r="F46" s="8">
        <v>50.0</v>
      </c>
      <c r="G46" s="26">
        <f t="shared" si="9"/>
        <v>10000</v>
      </c>
      <c r="H46" s="27"/>
      <c r="I46" s="28"/>
    </row>
    <row r="47" ht="15.75" customHeight="1">
      <c r="B47" s="23"/>
      <c r="C47" s="24" t="s">
        <v>57</v>
      </c>
      <c r="D47" s="24">
        <v>100.0</v>
      </c>
      <c r="E47" s="25"/>
      <c r="F47" s="33">
        <v>50.0</v>
      </c>
      <c r="G47" s="29">
        <f t="shared" si="9"/>
        <v>5000</v>
      </c>
      <c r="H47" s="30"/>
      <c r="I47" s="31"/>
    </row>
    <row r="48" ht="15.75" customHeight="1"/>
    <row r="49" ht="15.75" customHeight="1">
      <c r="B49" s="14">
        <v>46043.0</v>
      </c>
      <c r="C49" s="24" t="s">
        <v>53</v>
      </c>
      <c r="D49" s="15">
        <v>200.0</v>
      </c>
      <c r="E49" s="12"/>
      <c r="F49" s="10">
        <v>50.0</v>
      </c>
      <c r="G49" s="17">
        <f t="shared" ref="G49:G55" si="10">+F49*D49</f>
        <v>10000</v>
      </c>
      <c r="H49" s="18">
        <f>+G49+G53+G55+G51+G52+G50+G54</f>
        <v>61500</v>
      </c>
      <c r="I49" s="21">
        <v>198.0</v>
      </c>
    </row>
    <row r="50" ht="15.75" customHeight="1">
      <c r="B50" s="20"/>
      <c r="C50" s="24" t="s">
        <v>71</v>
      </c>
      <c r="D50" s="47">
        <v>100.0</v>
      </c>
      <c r="E50" s="48"/>
      <c r="F50" s="15">
        <v>50.0</v>
      </c>
      <c r="G50" s="17">
        <f t="shared" si="10"/>
        <v>5000</v>
      </c>
      <c r="H50" s="27"/>
      <c r="I50" s="28"/>
    </row>
    <row r="51" ht="15.75" customHeight="1">
      <c r="B51" s="20"/>
      <c r="C51" s="24" t="s">
        <v>73</v>
      </c>
      <c r="D51" s="47">
        <v>300.0</v>
      </c>
      <c r="E51" s="48"/>
      <c r="F51" s="15">
        <v>55.0</v>
      </c>
      <c r="G51" s="17">
        <f t="shared" si="10"/>
        <v>16500</v>
      </c>
      <c r="H51" s="27"/>
      <c r="I51" s="28"/>
    </row>
    <row r="52" ht="15.75" customHeight="1">
      <c r="B52" s="20"/>
      <c r="C52" s="24" t="s">
        <v>65</v>
      </c>
      <c r="D52" s="47">
        <v>100.0</v>
      </c>
      <c r="E52" s="48"/>
      <c r="F52" s="10">
        <v>50.0</v>
      </c>
      <c r="G52" s="17">
        <f t="shared" si="10"/>
        <v>5000</v>
      </c>
      <c r="H52" s="27"/>
      <c r="I52" s="28"/>
    </row>
    <row r="53" ht="15.75" customHeight="1">
      <c r="B53" s="20"/>
      <c r="C53" s="24" t="s">
        <v>51</v>
      </c>
      <c r="D53" s="40">
        <v>300.0</v>
      </c>
      <c r="E53" s="22"/>
      <c r="F53" s="8">
        <v>50.0</v>
      </c>
      <c r="G53" s="26">
        <f t="shared" si="10"/>
        <v>15000</v>
      </c>
      <c r="H53" s="27"/>
      <c r="I53" s="28"/>
    </row>
    <row r="54" ht="15.75" customHeight="1">
      <c r="B54" s="20"/>
      <c r="C54" s="24" t="s">
        <v>76</v>
      </c>
      <c r="D54" s="45">
        <v>100.0</v>
      </c>
      <c r="E54" s="32"/>
      <c r="F54" s="45">
        <v>50.0</v>
      </c>
      <c r="G54" s="26">
        <f t="shared" si="10"/>
        <v>5000</v>
      </c>
      <c r="H54" s="27"/>
      <c r="I54" s="28"/>
    </row>
    <row r="55" ht="15.75" customHeight="1">
      <c r="B55" s="23"/>
      <c r="C55" s="24" t="s">
        <v>57</v>
      </c>
      <c r="D55" s="24">
        <v>100.0</v>
      </c>
      <c r="E55" s="25"/>
      <c r="F55" s="33">
        <v>50.0</v>
      </c>
      <c r="G55" s="29">
        <f t="shared" si="10"/>
        <v>5000</v>
      </c>
      <c r="H55" s="30"/>
      <c r="I55" s="31"/>
    </row>
    <row r="56" ht="15.75" customHeight="1"/>
    <row r="57" ht="15.75" customHeight="1">
      <c r="B57" s="14">
        <v>46044.0</v>
      </c>
      <c r="C57" s="24" t="s">
        <v>78</v>
      </c>
      <c r="D57" s="15">
        <v>250.0</v>
      </c>
      <c r="E57" s="12"/>
      <c r="F57" s="10">
        <v>50.0</v>
      </c>
      <c r="G57" s="17">
        <f t="shared" ref="G57:G62" si="11">+F57*D57</f>
        <v>12500</v>
      </c>
      <c r="H57" s="18">
        <f>+G57+G60+G62+G58+G59+G61</f>
        <v>83500</v>
      </c>
      <c r="I57" s="21">
        <v>203.0</v>
      </c>
    </row>
    <row r="58" ht="15.75" customHeight="1">
      <c r="B58" s="20"/>
      <c r="C58" s="24" t="s">
        <v>82</v>
      </c>
      <c r="D58" s="47">
        <v>200.0</v>
      </c>
      <c r="E58" s="48"/>
      <c r="F58" s="15">
        <v>55.0</v>
      </c>
      <c r="G58" s="17">
        <f t="shared" si="11"/>
        <v>11000</v>
      </c>
      <c r="H58" s="27"/>
      <c r="I58" s="28"/>
    </row>
    <row r="59" ht="15.75" customHeight="1">
      <c r="B59" s="20"/>
      <c r="C59" s="24" t="s">
        <v>83</v>
      </c>
      <c r="D59" s="47">
        <v>400.0</v>
      </c>
      <c r="E59" s="48"/>
      <c r="F59" s="10">
        <v>50.0</v>
      </c>
      <c r="G59" s="17">
        <f t="shared" si="11"/>
        <v>20000</v>
      </c>
      <c r="H59" s="27"/>
      <c r="I59" s="28"/>
    </row>
    <row r="60" ht="15.75" customHeight="1">
      <c r="B60" s="20"/>
      <c r="C60" s="24" t="s">
        <v>84</v>
      </c>
      <c r="D60" s="40">
        <v>300.0</v>
      </c>
      <c r="E60" s="22"/>
      <c r="F60" s="8">
        <v>50.0</v>
      </c>
      <c r="G60" s="26">
        <f t="shared" si="11"/>
        <v>15000</v>
      </c>
      <c r="H60" s="27"/>
      <c r="I60" s="28"/>
    </row>
    <row r="61" ht="15.75" customHeight="1">
      <c r="B61" s="20"/>
      <c r="C61" s="24" t="s">
        <v>76</v>
      </c>
      <c r="D61" s="45">
        <v>100.0</v>
      </c>
      <c r="E61" s="32"/>
      <c r="F61" s="45">
        <v>50.0</v>
      </c>
      <c r="G61" s="26">
        <f t="shared" si="11"/>
        <v>5000</v>
      </c>
      <c r="H61" s="27"/>
      <c r="I61" s="28"/>
    </row>
    <row r="62" ht="15.75" customHeight="1">
      <c r="B62" s="23"/>
      <c r="C62" s="24" t="s">
        <v>85</v>
      </c>
      <c r="D62" s="24">
        <v>400.0</v>
      </c>
      <c r="E62" s="25"/>
      <c r="F62" s="33">
        <v>50.0</v>
      </c>
      <c r="G62" s="29">
        <f t="shared" si="11"/>
        <v>20000</v>
      </c>
      <c r="H62" s="30"/>
      <c r="I62" s="31"/>
    </row>
    <row r="63" ht="15.75" customHeight="1"/>
    <row r="64" ht="15.75" customHeight="1">
      <c r="B64" s="14">
        <v>46048.0</v>
      </c>
      <c r="C64" s="24" t="s">
        <v>76</v>
      </c>
      <c r="D64" s="15">
        <v>100.0</v>
      </c>
      <c r="E64" s="12"/>
      <c r="F64" s="10">
        <v>50.0</v>
      </c>
      <c r="G64" s="17">
        <f t="shared" ref="G64:G72" si="12">+F64*D64</f>
        <v>5000</v>
      </c>
      <c r="H64" s="18">
        <f>+G64+G68+G72+G66+G67+G65+G69+G70+G71</f>
        <v>135500</v>
      </c>
      <c r="I64" s="21">
        <v>204.0</v>
      </c>
    </row>
    <row r="65" ht="15.75" customHeight="1">
      <c r="B65" s="20"/>
      <c r="C65" s="24" t="s">
        <v>82</v>
      </c>
      <c r="D65" s="47">
        <v>100.0</v>
      </c>
      <c r="E65" s="48"/>
      <c r="F65" s="15">
        <v>55.0</v>
      </c>
      <c r="G65" s="17">
        <f t="shared" si="12"/>
        <v>5500</v>
      </c>
      <c r="H65" s="27"/>
      <c r="I65" s="28"/>
    </row>
    <row r="66" ht="15.75" customHeight="1">
      <c r="B66" s="20"/>
      <c r="C66" s="24" t="s">
        <v>91</v>
      </c>
      <c r="D66" s="47">
        <v>500.0</v>
      </c>
      <c r="E66" s="48"/>
      <c r="F66" s="15">
        <v>50.0</v>
      </c>
      <c r="G66" s="17">
        <f t="shared" si="12"/>
        <v>25000</v>
      </c>
      <c r="H66" s="27"/>
      <c r="I66" s="28"/>
    </row>
    <row r="67" ht="15.75" customHeight="1">
      <c r="B67" s="20"/>
      <c r="C67" s="24" t="s">
        <v>84</v>
      </c>
      <c r="D67" s="47">
        <v>200.0</v>
      </c>
      <c r="E67" s="48"/>
      <c r="F67" s="10">
        <v>50.0</v>
      </c>
      <c r="G67" s="17">
        <f t="shared" si="12"/>
        <v>10000</v>
      </c>
      <c r="H67" s="27"/>
      <c r="I67" s="28"/>
    </row>
    <row r="68" ht="15.75" customHeight="1">
      <c r="B68" s="20"/>
      <c r="C68" s="24" t="s">
        <v>94</v>
      </c>
      <c r="D68" s="40">
        <v>700.0</v>
      </c>
      <c r="E68" s="22"/>
      <c r="F68" s="8">
        <v>50.0</v>
      </c>
      <c r="G68" s="26">
        <f t="shared" si="12"/>
        <v>35000</v>
      </c>
      <c r="H68" s="27"/>
      <c r="I68" s="28"/>
    </row>
    <row r="69" ht="15.75" customHeight="1">
      <c r="B69" s="20"/>
      <c r="C69" s="24" t="s">
        <v>85</v>
      </c>
      <c r="D69" s="45">
        <v>500.0</v>
      </c>
      <c r="E69" s="32"/>
      <c r="F69" s="45">
        <v>50.0</v>
      </c>
      <c r="G69" s="26">
        <f t="shared" si="12"/>
        <v>25000</v>
      </c>
      <c r="H69" s="27"/>
      <c r="I69" s="28"/>
    </row>
    <row r="70" ht="15.75" customHeight="1">
      <c r="B70" s="20"/>
      <c r="C70" s="24" t="s">
        <v>83</v>
      </c>
      <c r="D70" s="45">
        <v>100.0</v>
      </c>
      <c r="E70" s="32"/>
      <c r="F70" s="45">
        <v>50.0</v>
      </c>
      <c r="G70" s="26">
        <f t="shared" si="12"/>
        <v>5000</v>
      </c>
      <c r="H70" s="27"/>
      <c r="I70" s="28"/>
    </row>
    <row r="71" ht="15.75" customHeight="1">
      <c r="B71" s="20"/>
      <c r="C71" s="24" t="s">
        <v>51</v>
      </c>
      <c r="D71" s="45">
        <v>300.0</v>
      </c>
      <c r="E71" s="32"/>
      <c r="F71" s="45">
        <v>50.0</v>
      </c>
      <c r="G71" s="26">
        <f t="shared" si="12"/>
        <v>15000</v>
      </c>
      <c r="H71" s="27"/>
      <c r="I71" s="28"/>
    </row>
    <row r="72" ht="15.75" customHeight="1">
      <c r="B72" s="23"/>
      <c r="C72" s="24" t="s">
        <v>65</v>
      </c>
      <c r="D72" s="24">
        <v>200.0</v>
      </c>
      <c r="E72" s="25"/>
      <c r="F72" s="33">
        <v>50.0</v>
      </c>
      <c r="G72" s="29">
        <f t="shared" si="12"/>
        <v>10000</v>
      </c>
      <c r="H72" s="30"/>
      <c r="I72" s="31"/>
    </row>
    <row r="73" ht="15.75" customHeight="1">
      <c r="B73" s="49"/>
      <c r="C73" s="50"/>
      <c r="D73" s="50"/>
      <c r="E73" s="37"/>
      <c r="F73" s="36"/>
      <c r="G73" s="38"/>
      <c r="H73" s="38"/>
      <c r="I73" s="50"/>
    </row>
    <row r="74" ht="15.75" customHeight="1">
      <c r="B74" s="14">
        <v>46049.0</v>
      </c>
      <c r="C74" s="24" t="s">
        <v>83</v>
      </c>
      <c r="D74" s="15">
        <v>300.0</v>
      </c>
      <c r="E74" s="12"/>
      <c r="F74" s="10">
        <v>50.0</v>
      </c>
      <c r="G74" s="17">
        <f t="shared" ref="G74:G76" si="13">+F74*D74</f>
        <v>15000</v>
      </c>
      <c r="H74" s="18">
        <f>+G74+G75+G76</f>
        <v>25000</v>
      </c>
      <c r="I74" s="21">
        <v>212.0</v>
      </c>
    </row>
    <row r="75" ht="15.75" customHeight="1">
      <c r="B75" s="20"/>
      <c r="C75" s="24" t="s">
        <v>84</v>
      </c>
      <c r="D75" s="40">
        <v>100.0</v>
      </c>
      <c r="E75" s="22"/>
      <c r="F75" s="8">
        <v>50.0</v>
      </c>
      <c r="G75" s="26">
        <f t="shared" si="13"/>
        <v>5000</v>
      </c>
      <c r="H75" s="27"/>
      <c r="I75" s="28"/>
    </row>
    <row r="76" ht="15.75" customHeight="1">
      <c r="B76" s="23"/>
      <c r="C76" s="24" t="s">
        <v>76</v>
      </c>
      <c r="D76" s="24">
        <v>100.0</v>
      </c>
      <c r="E76" s="25"/>
      <c r="F76" s="33">
        <v>50.0</v>
      </c>
      <c r="G76" s="29">
        <f t="shared" si="13"/>
        <v>5000</v>
      </c>
      <c r="H76" s="30"/>
      <c r="I76" s="31"/>
    </row>
    <row r="77" ht="15.75" customHeight="1"/>
    <row r="78" ht="15.75" customHeight="1">
      <c r="B78" s="14">
        <v>46054.0</v>
      </c>
      <c r="C78" s="24" t="s">
        <v>83</v>
      </c>
      <c r="D78" s="15">
        <v>600.0</v>
      </c>
      <c r="E78" s="12"/>
      <c r="F78" s="10">
        <v>50.0</v>
      </c>
      <c r="G78" s="17">
        <f t="shared" ref="G78:G82" si="14">+F78*D78</f>
        <v>30000</v>
      </c>
      <c r="H78" s="18">
        <f>+G78+G81+G82+G79+G80</f>
        <v>60000</v>
      </c>
      <c r="I78" s="21">
        <v>216.0</v>
      </c>
    </row>
    <row r="79" ht="15.75" customHeight="1">
      <c r="B79" s="20"/>
      <c r="C79" s="24" t="s">
        <v>84</v>
      </c>
      <c r="D79" s="47">
        <v>100.0</v>
      </c>
      <c r="E79" s="48"/>
      <c r="F79" s="10">
        <v>50.0</v>
      </c>
      <c r="G79" s="17">
        <f t="shared" si="14"/>
        <v>5000</v>
      </c>
      <c r="H79" s="27"/>
      <c r="I79" s="28"/>
    </row>
    <row r="80" ht="15.75" customHeight="1">
      <c r="B80" s="20"/>
      <c r="C80" s="24" t="s">
        <v>76</v>
      </c>
      <c r="D80" s="47">
        <v>200.0</v>
      </c>
      <c r="E80" s="48"/>
      <c r="F80" s="10">
        <v>50.0</v>
      </c>
      <c r="G80" s="17">
        <f t="shared" si="14"/>
        <v>10000</v>
      </c>
      <c r="H80" s="27"/>
      <c r="I80" s="28"/>
    </row>
    <row r="81" ht="15.75" customHeight="1">
      <c r="B81" s="20"/>
      <c r="C81" s="24" t="s">
        <v>82</v>
      </c>
      <c r="D81" s="40">
        <v>200.0</v>
      </c>
      <c r="E81" s="22"/>
      <c r="F81" s="8">
        <v>50.0</v>
      </c>
      <c r="G81" s="26">
        <f t="shared" si="14"/>
        <v>10000</v>
      </c>
      <c r="H81" s="27"/>
      <c r="I81" s="28"/>
    </row>
    <row r="82" ht="15.75" customHeight="1">
      <c r="B82" s="23"/>
      <c r="C82" s="24" t="s">
        <v>114</v>
      </c>
      <c r="D82" s="24">
        <v>100.0</v>
      </c>
      <c r="E82" s="25"/>
      <c r="F82" s="33">
        <v>50.0</v>
      </c>
      <c r="G82" s="29">
        <f t="shared" si="14"/>
        <v>5000</v>
      </c>
      <c r="H82" s="30"/>
      <c r="I82" s="31"/>
    </row>
    <row r="83" ht="15.75" customHeight="1"/>
    <row r="84" ht="15.75" customHeight="1">
      <c r="B84" s="14">
        <v>46056.0</v>
      </c>
      <c r="C84" s="24" t="s">
        <v>117</v>
      </c>
      <c r="D84" s="15">
        <v>100.0</v>
      </c>
      <c r="E84" s="12"/>
      <c r="F84" s="10">
        <v>50.0</v>
      </c>
      <c r="G84" s="17">
        <f t="shared" ref="G84:G86" si="15">+F84*D84</f>
        <v>5000</v>
      </c>
      <c r="H84" s="18">
        <f>+G84+G85+G86</f>
        <v>41500</v>
      </c>
      <c r="I84" s="21">
        <v>219.0</v>
      </c>
    </row>
    <row r="85" ht="15.75" customHeight="1">
      <c r="B85" s="20"/>
      <c r="C85" s="24" t="s">
        <v>82</v>
      </c>
      <c r="D85" s="40">
        <v>300.0</v>
      </c>
      <c r="E85" s="22"/>
      <c r="F85" s="40">
        <v>55.0</v>
      </c>
      <c r="G85" s="26">
        <f t="shared" si="15"/>
        <v>16500</v>
      </c>
      <c r="H85" s="27"/>
      <c r="I85" s="28"/>
    </row>
    <row r="86" ht="15.75" customHeight="1">
      <c r="B86" s="23"/>
      <c r="C86" s="24" t="s">
        <v>76</v>
      </c>
      <c r="D86" s="24">
        <v>400.0</v>
      </c>
      <c r="E86" s="25"/>
      <c r="F86" s="33">
        <v>50.0</v>
      </c>
      <c r="G86" s="29">
        <f t="shared" si="15"/>
        <v>20000</v>
      </c>
      <c r="H86" s="30"/>
      <c r="I86" s="31"/>
    </row>
    <row r="87" ht="15.75" customHeight="1"/>
    <row r="88" ht="15.75" customHeight="1">
      <c r="B88" s="14">
        <v>46061.0</v>
      </c>
      <c r="C88" s="24" t="s">
        <v>125</v>
      </c>
      <c r="D88" s="15">
        <v>300.0</v>
      </c>
      <c r="E88" s="12"/>
      <c r="F88" s="10">
        <v>50.0</v>
      </c>
      <c r="G88" s="17">
        <f t="shared" ref="G88:G90" si="16">+F88*D88</f>
        <v>15000</v>
      </c>
      <c r="H88" s="18">
        <f>+G88+G89+G90</f>
        <v>60300</v>
      </c>
      <c r="I88" s="21">
        <v>234.0</v>
      </c>
    </row>
    <row r="89" ht="15.75" customHeight="1">
      <c r="B89" s="20"/>
      <c r="C89" s="24" t="s">
        <v>129</v>
      </c>
      <c r="D89" s="40">
        <v>300.0</v>
      </c>
      <c r="E89" s="22"/>
      <c r="F89" s="40">
        <v>55.0</v>
      </c>
      <c r="G89" s="26">
        <f t="shared" si="16"/>
        <v>16500</v>
      </c>
      <c r="H89" s="27"/>
      <c r="I89" s="28"/>
    </row>
    <row r="90" ht="15.75" customHeight="1">
      <c r="B90" s="23"/>
      <c r="C90" s="24" t="s">
        <v>130</v>
      </c>
      <c r="D90" s="24">
        <v>480.0</v>
      </c>
      <c r="E90" s="25"/>
      <c r="F90" s="24">
        <v>60.0</v>
      </c>
      <c r="G90" s="29">
        <f t="shared" si="16"/>
        <v>28800</v>
      </c>
      <c r="H90" s="30"/>
      <c r="I90" s="31"/>
    </row>
    <row r="91" ht="15.75" customHeight="1"/>
    <row r="92" ht="15.75" customHeight="1">
      <c r="B92" s="39">
        <v>46064.0</v>
      </c>
      <c r="C92" s="24" t="s">
        <v>83</v>
      </c>
      <c r="D92" s="15">
        <v>600.0</v>
      </c>
      <c r="E92" s="12"/>
      <c r="F92" s="10">
        <v>50.0</v>
      </c>
      <c r="G92" s="17">
        <f>+F92*D92</f>
        <v>30000</v>
      </c>
      <c r="H92" s="41">
        <f>G92</f>
        <v>30000</v>
      </c>
      <c r="I92" s="42">
        <v>239.0</v>
      </c>
    </row>
    <row r="93" ht="15.75" customHeight="1"/>
    <row r="94" ht="15.75" customHeight="1">
      <c r="B94" s="14">
        <v>46068.0</v>
      </c>
      <c r="C94" s="24" t="s">
        <v>83</v>
      </c>
      <c r="D94" s="15">
        <v>600.0</v>
      </c>
      <c r="E94" s="12"/>
      <c r="F94" s="10">
        <v>50.0</v>
      </c>
      <c r="G94" s="17">
        <f t="shared" ref="G94:G98" si="17">+F94*D94</f>
        <v>30000</v>
      </c>
      <c r="H94" s="18">
        <f>+G94+G97+G98+G95+G96</f>
        <v>67940</v>
      </c>
      <c r="I94" s="21">
        <v>244.0</v>
      </c>
    </row>
    <row r="95" ht="15.75" customHeight="1">
      <c r="B95" s="20"/>
      <c r="C95" s="24" t="s">
        <v>114</v>
      </c>
      <c r="D95" s="47">
        <v>100.0</v>
      </c>
      <c r="E95" s="48"/>
      <c r="F95" s="10">
        <v>50.0</v>
      </c>
      <c r="G95" s="17">
        <f t="shared" si="17"/>
        <v>5000</v>
      </c>
      <c r="H95" s="27"/>
      <c r="I95" s="28"/>
    </row>
    <row r="96" ht="15.75" customHeight="1">
      <c r="B96" s="20"/>
      <c r="C96" s="24" t="s">
        <v>139</v>
      </c>
      <c r="D96" s="47">
        <v>260.0</v>
      </c>
      <c r="E96" s="48"/>
      <c r="F96" s="15">
        <v>60.0</v>
      </c>
      <c r="G96" s="17">
        <f t="shared" si="17"/>
        <v>15600</v>
      </c>
      <c r="H96" s="27"/>
      <c r="I96" s="28"/>
    </row>
    <row r="97" ht="15.75" customHeight="1">
      <c r="B97" s="20"/>
      <c r="C97" s="24" t="s">
        <v>141</v>
      </c>
      <c r="D97" s="40">
        <v>70.0</v>
      </c>
      <c r="E97" s="22"/>
      <c r="F97" s="15">
        <v>60.0</v>
      </c>
      <c r="G97" s="26">
        <f t="shared" si="17"/>
        <v>4200</v>
      </c>
      <c r="H97" s="27"/>
      <c r="I97" s="28"/>
    </row>
    <row r="98" ht="15.75" customHeight="1">
      <c r="B98" s="23"/>
      <c r="C98" s="24" t="s">
        <v>144</v>
      </c>
      <c r="D98" s="24">
        <v>219.0</v>
      </c>
      <c r="E98" s="25"/>
      <c r="F98" s="24">
        <v>60.0</v>
      </c>
      <c r="G98" s="29">
        <f t="shared" si="17"/>
        <v>13140</v>
      </c>
      <c r="H98" s="30"/>
      <c r="I98" s="31"/>
    </row>
    <row r="99" ht="15.75" customHeight="1"/>
    <row r="100" ht="15.75" customHeight="1">
      <c r="B100" s="14">
        <v>46070.0</v>
      </c>
      <c r="C100" s="24" t="s">
        <v>114</v>
      </c>
      <c r="D100" s="15">
        <v>250.0</v>
      </c>
      <c r="E100" s="12"/>
      <c r="F100" s="10">
        <v>50.0</v>
      </c>
      <c r="G100" s="17">
        <f t="shared" ref="G100:G102" si="18">+F100*D100</f>
        <v>12500</v>
      </c>
      <c r="H100" s="18">
        <f>+G100+G101+G102</f>
        <v>82500</v>
      </c>
      <c r="I100" s="21">
        <v>246.0</v>
      </c>
    </row>
    <row r="101" ht="15.75" customHeight="1">
      <c r="B101" s="20"/>
      <c r="C101" s="24" t="s">
        <v>148</v>
      </c>
      <c r="D101" s="40">
        <v>600.0</v>
      </c>
      <c r="E101" s="22"/>
      <c r="F101" s="40">
        <v>50.0</v>
      </c>
      <c r="G101" s="26">
        <f t="shared" si="18"/>
        <v>30000</v>
      </c>
      <c r="H101" s="27"/>
      <c r="I101" s="28"/>
    </row>
    <row r="102" ht="15.75" customHeight="1">
      <c r="B102" s="23"/>
      <c r="C102" s="24" t="s">
        <v>150</v>
      </c>
      <c r="D102" s="24">
        <v>800.0</v>
      </c>
      <c r="E102" s="25"/>
      <c r="F102" s="24">
        <v>50.0</v>
      </c>
      <c r="G102" s="29">
        <f t="shared" si="18"/>
        <v>40000</v>
      </c>
      <c r="H102" s="30"/>
      <c r="I102" s="31"/>
    </row>
    <row r="103" ht="15.75" customHeight="1"/>
    <row r="104" ht="15.75" customHeight="1">
      <c r="B104" s="14">
        <v>46071.0</v>
      </c>
      <c r="C104" s="24" t="s">
        <v>152</v>
      </c>
      <c r="D104" s="15">
        <v>300.0</v>
      </c>
      <c r="E104" s="12"/>
      <c r="F104" s="10">
        <v>50.0</v>
      </c>
      <c r="G104" s="17">
        <f t="shared" ref="G104:G106" si="19">+F104*D104</f>
        <v>15000</v>
      </c>
      <c r="H104" s="18">
        <f>+G104+G105+G106</f>
        <v>55500</v>
      </c>
      <c r="I104" s="21">
        <v>249.0</v>
      </c>
    </row>
    <row r="105" ht="15.75" customHeight="1">
      <c r="B105" s="20"/>
      <c r="C105" s="24" t="s">
        <v>154</v>
      </c>
      <c r="D105" s="40">
        <v>300.0</v>
      </c>
      <c r="E105" s="22"/>
      <c r="F105" s="40">
        <v>60.0</v>
      </c>
      <c r="G105" s="26">
        <f t="shared" si="19"/>
        <v>18000</v>
      </c>
      <c r="H105" s="27"/>
      <c r="I105" s="28"/>
    </row>
    <row r="106" ht="15.75" customHeight="1">
      <c r="B106" s="23"/>
      <c r="C106" s="24" t="s">
        <v>150</v>
      </c>
      <c r="D106" s="24">
        <v>450.0</v>
      </c>
      <c r="E106" s="25"/>
      <c r="F106" s="24">
        <v>50.0</v>
      </c>
      <c r="G106" s="29">
        <f t="shared" si="19"/>
        <v>22500</v>
      </c>
      <c r="H106" s="30"/>
      <c r="I106" s="31"/>
    </row>
    <row r="107" ht="15.75" customHeight="1"/>
    <row r="108" ht="15.75" customHeight="1">
      <c r="B108" s="14">
        <v>46075.0</v>
      </c>
      <c r="C108" s="24" t="s">
        <v>152</v>
      </c>
      <c r="D108" s="15">
        <v>300.0</v>
      </c>
      <c r="E108" s="12"/>
      <c r="F108" s="10">
        <v>50.0</v>
      </c>
      <c r="G108" s="17">
        <f t="shared" ref="G108:G111" si="20">+F108*D108</f>
        <v>15000</v>
      </c>
      <c r="H108" s="18">
        <f>+G108+G109+G111+G110</f>
        <v>79000</v>
      </c>
      <c r="I108" s="21">
        <v>256.0</v>
      </c>
    </row>
    <row r="109" ht="15.75" customHeight="1">
      <c r="B109" s="20"/>
      <c r="C109" s="24" t="s">
        <v>154</v>
      </c>
      <c r="D109" s="40">
        <v>400.0</v>
      </c>
      <c r="E109" s="22"/>
      <c r="F109" s="40">
        <v>60.0</v>
      </c>
      <c r="G109" s="26">
        <f t="shared" si="20"/>
        <v>24000</v>
      </c>
      <c r="H109" s="27"/>
      <c r="I109" s="28"/>
    </row>
    <row r="110" ht="15.75" customHeight="1">
      <c r="B110" s="20"/>
      <c r="C110" s="24" t="s">
        <v>148</v>
      </c>
      <c r="D110" s="45">
        <v>200.0</v>
      </c>
      <c r="E110" s="32"/>
      <c r="F110" s="45">
        <v>50.0</v>
      </c>
      <c r="G110" s="26">
        <f t="shared" si="20"/>
        <v>10000</v>
      </c>
      <c r="H110" s="27"/>
      <c r="I110" s="28"/>
    </row>
    <row r="111" ht="15.75" customHeight="1">
      <c r="B111" s="23"/>
      <c r="C111" s="24" t="s">
        <v>150</v>
      </c>
      <c r="D111" s="24">
        <v>600.0</v>
      </c>
      <c r="E111" s="25"/>
      <c r="F111" s="24">
        <v>50.0</v>
      </c>
      <c r="G111" s="29">
        <f t="shared" si="20"/>
        <v>30000</v>
      </c>
      <c r="H111" s="30"/>
      <c r="I111" s="31"/>
    </row>
    <row r="112" ht="15.75" customHeight="1"/>
    <row r="113" ht="15.75" customHeight="1">
      <c r="B113" s="14">
        <v>46076.0</v>
      </c>
      <c r="C113" s="24" t="s">
        <v>152</v>
      </c>
      <c r="D113" s="15">
        <v>200.0</v>
      </c>
      <c r="E113" s="12"/>
      <c r="F113" s="10">
        <v>50.0</v>
      </c>
      <c r="G113" s="17">
        <f t="shared" ref="G113:G117" si="21">+F113*D113</f>
        <v>10000</v>
      </c>
      <c r="H113" s="18">
        <f>+G113+G114+G117+G115+G116</f>
        <v>55000</v>
      </c>
      <c r="I113" s="21">
        <v>260.0</v>
      </c>
    </row>
    <row r="114" ht="15.75" customHeight="1">
      <c r="B114" s="20"/>
      <c r="C114" s="24" t="s">
        <v>154</v>
      </c>
      <c r="D114" s="40">
        <v>300.0</v>
      </c>
      <c r="E114" s="22"/>
      <c r="F114" s="40">
        <v>60.0</v>
      </c>
      <c r="G114" s="26">
        <f t="shared" si="21"/>
        <v>18000</v>
      </c>
      <c r="H114" s="27"/>
      <c r="I114" s="28"/>
    </row>
    <row r="115" ht="15.75" customHeight="1">
      <c r="B115" s="20"/>
      <c r="C115" s="24" t="s">
        <v>168</v>
      </c>
      <c r="D115" s="45">
        <v>100.0</v>
      </c>
      <c r="E115" s="32"/>
      <c r="F115" s="45">
        <v>60.0</v>
      </c>
      <c r="G115" s="26">
        <f t="shared" si="21"/>
        <v>6000</v>
      </c>
      <c r="H115" s="27"/>
      <c r="I115" s="28"/>
    </row>
    <row r="116" ht="15.75" customHeight="1">
      <c r="B116" s="20"/>
      <c r="C116" s="24" t="s">
        <v>169</v>
      </c>
      <c r="D116" s="45">
        <v>100.0</v>
      </c>
      <c r="E116" s="32"/>
      <c r="F116" s="45">
        <v>60.0</v>
      </c>
      <c r="G116" s="26">
        <f t="shared" si="21"/>
        <v>6000</v>
      </c>
      <c r="H116" s="27"/>
      <c r="I116" s="28"/>
    </row>
    <row r="117" ht="15.75" customHeight="1">
      <c r="B117" s="23"/>
      <c r="C117" s="24" t="s">
        <v>150</v>
      </c>
      <c r="D117" s="24">
        <v>300.0</v>
      </c>
      <c r="E117" s="25"/>
      <c r="F117" s="24">
        <v>50.0</v>
      </c>
      <c r="G117" s="29">
        <f t="shared" si="21"/>
        <v>15000</v>
      </c>
      <c r="H117" s="30"/>
      <c r="I117" s="31"/>
    </row>
    <row r="118" ht="15.75" customHeight="1"/>
    <row r="119" ht="15.75" customHeight="1">
      <c r="B119" s="14">
        <v>46077.0</v>
      </c>
      <c r="C119" s="24" t="s">
        <v>173</v>
      </c>
      <c r="D119" s="15">
        <v>100.0</v>
      </c>
      <c r="E119" s="12"/>
      <c r="F119" s="10">
        <v>50.0</v>
      </c>
      <c r="G119" s="17">
        <f t="shared" ref="G119:G123" si="22">+F119*D119</f>
        <v>5000</v>
      </c>
      <c r="H119" s="18">
        <f>+G119+G120+G123+G121+G122</f>
        <v>31000</v>
      </c>
      <c r="I119" s="21">
        <v>262.0</v>
      </c>
    </row>
    <row r="120" ht="15.75" customHeight="1">
      <c r="B120" s="20"/>
      <c r="C120" s="24" t="s">
        <v>154</v>
      </c>
      <c r="D120" s="40">
        <v>100.0</v>
      </c>
      <c r="E120" s="22"/>
      <c r="F120" s="40">
        <v>60.0</v>
      </c>
      <c r="G120" s="26">
        <f t="shared" si="22"/>
        <v>6000</v>
      </c>
      <c r="H120" s="27"/>
      <c r="I120" s="28"/>
    </row>
    <row r="121" ht="15.75" customHeight="1">
      <c r="B121" s="20"/>
      <c r="C121" s="24" t="s">
        <v>176</v>
      </c>
      <c r="D121" s="45">
        <v>100.0</v>
      </c>
      <c r="E121" s="32"/>
      <c r="F121" s="45">
        <v>50.0</v>
      </c>
      <c r="G121" s="26">
        <f t="shared" si="22"/>
        <v>5000</v>
      </c>
      <c r="H121" s="27"/>
      <c r="I121" s="28"/>
    </row>
    <row r="122" ht="15.75" customHeight="1">
      <c r="B122" s="20"/>
      <c r="C122" s="24" t="s">
        <v>177</v>
      </c>
      <c r="D122" s="45">
        <v>100.0</v>
      </c>
      <c r="E122" s="32"/>
      <c r="F122" s="45">
        <v>50.0</v>
      </c>
      <c r="G122" s="26">
        <f t="shared" si="22"/>
        <v>5000</v>
      </c>
      <c r="H122" s="27"/>
      <c r="I122" s="28"/>
    </row>
    <row r="123" ht="15.75" customHeight="1">
      <c r="B123" s="23"/>
      <c r="C123" s="24" t="s">
        <v>150</v>
      </c>
      <c r="D123" s="24">
        <v>200.0</v>
      </c>
      <c r="E123" s="25"/>
      <c r="F123" s="24">
        <v>50.0</v>
      </c>
      <c r="G123" s="29">
        <f t="shared" si="22"/>
        <v>10000</v>
      </c>
      <c r="H123" s="30"/>
      <c r="I123" s="31"/>
    </row>
    <row r="124" ht="15.75" customHeight="1"/>
    <row r="125" ht="15.75" customHeight="1">
      <c r="B125" s="14">
        <v>46082.0</v>
      </c>
      <c r="C125" s="24" t="s">
        <v>154</v>
      </c>
      <c r="D125" s="15">
        <v>300.0</v>
      </c>
      <c r="E125" s="12"/>
      <c r="F125" s="15">
        <v>60.0</v>
      </c>
      <c r="G125" s="17">
        <f t="shared" ref="G125:G133" si="23">+F125*D125</f>
        <v>18000</v>
      </c>
      <c r="H125" s="18">
        <f>+G125+G130+G133+G131+G132+G126+G127+G128+G129</f>
        <v>110500</v>
      </c>
      <c r="I125" s="21">
        <v>270.0</v>
      </c>
    </row>
    <row r="126" ht="15.75" customHeight="1">
      <c r="B126" s="20"/>
      <c r="C126" s="24" t="s">
        <v>183</v>
      </c>
      <c r="D126" s="47">
        <v>200.0</v>
      </c>
      <c r="E126" s="48"/>
      <c r="F126" s="15">
        <v>60.0</v>
      </c>
      <c r="G126" s="17">
        <f t="shared" si="23"/>
        <v>12000</v>
      </c>
      <c r="H126" s="27"/>
      <c r="I126" s="28"/>
    </row>
    <row r="127" ht="15.75" customHeight="1">
      <c r="B127" s="20"/>
      <c r="C127" s="24" t="s">
        <v>186</v>
      </c>
      <c r="D127" s="47">
        <v>100.0</v>
      </c>
      <c r="E127" s="48"/>
      <c r="F127" s="15">
        <v>60.0</v>
      </c>
      <c r="G127" s="17">
        <f t="shared" si="23"/>
        <v>6000</v>
      </c>
      <c r="H127" s="27"/>
      <c r="I127" s="28"/>
    </row>
    <row r="128" ht="15.75" customHeight="1">
      <c r="B128" s="20"/>
      <c r="C128" s="24" t="s">
        <v>188</v>
      </c>
      <c r="D128" s="47">
        <v>100.0</v>
      </c>
      <c r="E128" s="48"/>
      <c r="F128" s="15">
        <v>60.0</v>
      </c>
      <c r="G128" s="17">
        <f t="shared" si="23"/>
        <v>6000</v>
      </c>
      <c r="H128" s="27"/>
      <c r="I128" s="28"/>
    </row>
    <row r="129" ht="15.75" customHeight="1">
      <c r="B129" s="20"/>
      <c r="C129" s="102" t="s">
        <v>190</v>
      </c>
      <c r="D129" s="47">
        <v>200.0</v>
      </c>
      <c r="E129" s="48"/>
      <c r="F129" s="15">
        <v>60.0</v>
      </c>
      <c r="G129" s="17">
        <f t="shared" si="23"/>
        <v>12000</v>
      </c>
      <c r="H129" s="27"/>
      <c r="I129" s="28"/>
    </row>
    <row r="130" ht="15.75" customHeight="1">
      <c r="B130" s="20"/>
      <c r="C130" s="24" t="s">
        <v>173</v>
      </c>
      <c r="D130" s="47">
        <v>300.0</v>
      </c>
      <c r="E130" s="22"/>
      <c r="F130" s="40">
        <v>50.0</v>
      </c>
      <c r="G130" s="26">
        <f t="shared" si="23"/>
        <v>15000</v>
      </c>
      <c r="H130" s="27"/>
      <c r="I130" s="28"/>
    </row>
    <row r="131" ht="15.75" customHeight="1">
      <c r="B131" s="20"/>
      <c r="C131" s="24" t="s">
        <v>176</v>
      </c>
      <c r="D131" s="47">
        <v>300.0</v>
      </c>
      <c r="E131" s="32"/>
      <c r="F131" s="45">
        <v>55.0</v>
      </c>
      <c r="G131" s="26">
        <f t="shared" si="23"/>
        <v>16500</v>
      </c>
      <c r="H131" s="27"/>
      <c r="I131" s="28"/>
    </row>
    <row r="132" ht="15.75" customHeight="1">
      <c r="B132" s="20"/>
      <c r="C132" s="24" t="s">
        <v>177</v>
      </c>
      <c r="D132" s="47">
        <v>200.0</v>
      </c>
      <c r="E132" s="32"/>
      <c r="F132" s="45">
        <v>50.0</v>
      </c>
      <c r="G132" s="26">
        <f t="shared" si="23"/>
        <v>10000</v>
      </c>
      <c r="H132" s="27"/>
      <c r="I132" s="28"/>
    </row>
    <row r="133" ht="15.75" customHeight="1">
      <c r="B133" s="23"/>
      <c r="C133" s="24" t="s">
        <v>195</v>
      </c>
      <c r="D133" s="47">
        <v>300.0</v>
      </c>
      <c r="E133" s="25"/>
      <c r="F133" s="24">
        <v>50.0</v>
      </c>
      <c r="G133" s="29">
        <f t="shared" si="23"/>
        <v>15000</v>
      </c>
      <c r="H133" s="30"/>
      <c r="I133" s="31"/>
    </row>
    <row r="134" ht="15.75" customHeight="1">
      <c r="B134" s="49"/>
      <c r="C134" s="50"/>
      <c r="D134" s="50"/>
      <c r="E134" s="37"/>
      <c r="F134" s="50"/>
      <c r="G134" s="38"/>
      <c r="H134" s="38"/>
      <c r="I134" s="50"/>
    </row>
    <row r="135" ht="15.75" customHeight="1">
      <c r="B135" s="14">
        <v>46082.0</v>
      </c>
      <c r="C135" s="45" t="s">
        <v>199</v>
      </c>
      <c r="D135" s="15">
        <v>100.0</v>
      </c>
      <c r="E135" s="12"/>
      <c r="F135" s="15">
        <v>60.0</v>
      </c>
      <c r="G135" s="17">
        <f t="shared" ref="G135:G136" si="24">+F135*D135</f>
        <v>6000</v>
      </c>
      <c r="H135" s="18">
        <f>G135+G136</f>
        <v>21600</v>
      </c>
      <c r="I135" s="21">
        <v>273.0</v>
      </c>
    </row>
    <row r="136" ht="15.75" customHeight="1">
      <c r="B136" s="23"/>
      <c r="C136" s="40" t="s">
        <v>201</v>
      </c>
      <c r="D136" s="40">
        <v>260.0</v>
      </c>
      <c r="E136" s="22"/>
      <c r="F136" s="8">
        <v>60.0</v>
      </c>
      <c r="G136" s="26">
        <f t="shared" si="24"/>
        <v>15600</v>
      </c>
      <c r="H136" s="30"/>
      <c r="I136" s="31"/>
    </row>
    <row r="137" ht="15.75" customHeight="1">
      <c r="B137" s="49"/>
      <c r="C137" s="50"/>
      <c r="D137" s="50"/>
      <c r="E137" s="37"/>
      <c r="F137" s="50"/>
      <c r="G137" s="38"/>
      <c r="H137" s="38"/>
      <c r="I137" s="50"/>
    </row>
    <row r="138" ht="15.75" customHeight="1">
      <c r="B138" s="14">
        <v>46083.0</v>
      </c>
      <c r="C138" s="24" t="s">
        <v>183</v>
      </c>
      <c r="D138" s="40">
        <v>100.0</v>
      </c>
      <c r="E138" s="22"/>
      <c r="F138" s="40">
        <v>60.0</v>
      </c>
      <c r="G138" s="26">
        <f t="shared" ref="G138:G144" si="25">+F138*D138</f>
        <v>6000</v>
      </c>
      <c r="H138" s="18">
        <f>G138+G139+G140+G141+G142+G143+G144</f>
        <v>47800</v>
      </c>
      <c r="I138" s="21">
        <v>274.0</v>
      </c>
    </row>
    <row r="139" ht="15.75" customHeight="1">
      <c r="B139" s="20"/>
      <c r="C139" s="24" t="s">
        <v>186</v>
      </c>
      <c r="D139" s="47">
        <v>100.0</v>
      </c>
      <c r="E139" s="48"/>
      <c r="F139" s="47">
        <v>60.0</v>
      </c>
      <c r="G139" s="113">
        <f t="shared" si="25"/>
        <v>6000</v>
      </c>
      <c r="H139" s="27"/>
      <c r="I139" s="28"/>
    </row>
    <row r="140" ht="15.75" customHeight="1">
      <c r="B140" s="20"/>
      <c r="C140" s="24" t="s">
        <v>188</v>
      </c>
      <c r="D140" s="47">
        <v>100.0</v>
      </c>
      <c r="E140" s="48"/>
      <c r="F140" s="15">
        <v>60.0</v>
      </c>
      <c r="G140" s="17">
        <f t="shared" si="25"/>
        <v>6000</v>
      </c>
      <c r="H140" s="27"/>
      <c r="I140" s="28"/>
    </row>
    <row r="141" ht="15.75" customHeight="1">
      <c r="B141" s="20"/>
      <c r="C141" s="102" t="s">
        <v>190</v>
      </c>
      <c r="D141" s="47">
        <v>100.0</v>
      </c>
      <c r="E141" s="48"/>
      <c r="F141" s="15">
        <v>60.0</v>
      </c>
      <c r="G141" s="17">
        <f t="shared" si="25"/>
        <v>6000</v>
      </c>
      <c r="H141" s="27"/>
      <c r="I141" s="28"/>
    </row>
    <row r="142" ht="15.75" customHeight="1">
      <c r="B142" s="20"/>
      <c r="C142" s="45" t="s">
        <v>210</v>
      </c>
      <c r="D142" s="47">
        <v>200.0</v>
      </c>
      <c r="E142" s="22"/>
      <c r="F142" s="40">
        <v>50.0</v>
      </c>
      <c r="G142" s="26">
        <f t="shared" si="25"/>
        <v>10000</v>
      </c>
      <c r="H142" s="27"/>
      <c r="I142" s="28"/>
    </row>
    <row r="143" ht="15.75" customHeight="1">
      <c r="B143" s="20"/>
      <c r="C143" s="40" t="s">
        <v>212</v>
      </c>
      <c r="D143" s="40">
        <v>190.0</v>
      </c>
      <c r="E143" s="22"/>
      <c r="F143" s="40">
        <v>60.0</v>
      </c>
      <c r="G143" s="26">
        <f t="shared" si="25"/>
        <v>11400</v>
      </c>
      <c r="H143" s="27"/>
      <c r="I143" s="28"/>
    </row>
    <row r="144" ht="15.75" customHeight="1">
      <c r="B144" s="23"/>
      <c r="C144" s="40" t="s">
        <v>201</v>
      </c>
      <c r="D144" s="40">
        <v>40.0</v>
      </c>
      <c r="E144" s="22"/>
      <c r="F144" s="40">
        <v>60.0</v>
      </c>
      <c r="G144" s="26">
        <f t="shared" si="25"/>
        <v>2400</v>
      </c>
      <c r="H144" s="30"/>
      <c r="I144" s="31"/>
    </row>
    <row r="145" ht="15.75" customHeight="1"/>
    <row r="146" ht="15.75" customHeight="1">
      <c r="B146" s="14">
        <v>46084.0</v>
      </c>
      <c r="C146" s="24" t="s">
        <v>183</v>
      </c>
      <c r="D146" s="40">
        <v>80.0</v>
      </c>
      <c r="E146" s="22"/>
      <c r="F146" s="40">
        <v>60.0</v>
      </c>
      <c r="G146" s="26">
        <f t="shared" ref="G146:G152" si="26">+F146*D146</f>
        <v>4800</v>
      </c>
      <c r="H146" s="18">
        <f>G146+G147+G148+G149+G151+G152+G150</f>
        <v>52000</v>
      </c>
      <c r="I146" s="21">
        <v>276.0</v>
      </c>
    </row>
    <row r="147" ht="15.75" customHeight="1">
      <c r="B147" s="20"/>
      <c r="C147" s="24" t="s">
        <v>186</v>
      </c>
      <c r="D147" s="47">
        <v>70.0</v>
      </c>
      <c r="E147" s="48"/>
      <c r="F147" s="47">
        <v>60.0</v>
      </c>
      <c r="G147" s="113">
        <f t="shared" si="26"/>
        <v>4200</v>
      </c>
      <c r="H147" s="27"/>
      <c r="I147" s="28"/>
    </row>
    <row r="148" ht="15.75" customHeight="1">
      <c r="B148" s="20"/>
      <c r="C148" s="24" t="s">
        <v>188</v>
      </c>
      <c r="D148" s="47">
        <v>50.0</v>
      </c>
      <c r="E148" s="48"/>
      <c r="F148" s="15">
        <v>60.0</v>
      </c>
      <c r="G148" s="17">
        <f t="shared" si="26"/>
        <v>3000</v>
      </c>
      <c r="H148" s="27"/>
      <c r="I148" s="28"/>
    </row>
    <row r="149" ht="15.75" customHeight="1">
      <c r="B149" s="20"/>
      <c r="C149" s="102" t="s">
        <v>190</v>
      </c>
      <c r="D149" s="47">
        <v>200.0</v>
      </c>
      <c r="E149" s="48"/>
      <c r="F149" s="15">
        <v>60.0</v>
      </c>
      <c r="G149" s="17">
        <f t="shared" si="26"/>
        <v>12000</v>
      </c>
      <c r="H149" s="27"/>
      <c r="I149" s="28"/>
    </row>
    <row r="150" ht="15.75" customHeight="1">
      <c r="B150" s="20"/>
      <c r="C150" s="50" t="s">
        <v>215</v>
      </c>
      <c r="D150" s="47">
        <v>100.0</v>
      </c>
      <c r="E150" s="48"/>
      <c r="F150" s="47">
        <v>60.0</v>
      </c>
      <c r="G150" s="17">
        <f t="shared" si="26"/>
        <v>6000</v>
      </c>
      <c r="H150" s="27"/>
      <c r="I150" s="28"/>
    </row>
    <row r="151" ht="15.75" customHeight="1">
      <c r="B151" s="20"/>
      <c r="C151" s="45" t="s">
        <v>210</v>
      </c>
      <c r="D151" s="47">
        <v>200.0</v>
      </c>
      <c r="E151" s="22"/>
      <c r="F151" s="40">
        <v>50.0</v>
      </c>
      <c r="G151" s="26">
        <f t="shared" si="26"/>
        <v>10000</v>
      </c>
      <c r="H151" s="27"/>
      <c r="I151" s="28"/>
    </row>
    <row r="152" ht="15.75" customHeight="1">
      <c r="B152" s="23"/>
      <c r="C152" s="40" t="s">
        <v>216</v>
      </c>
      <c r="D152" s="40">
        <v>200.0</v>
      </c>
      <c r="E152" s="22"/>
      <c r="F152" s="40">
        <v>60.0</v>
      </c>
      <c r="G152" s="26">
        <f t="shared" si="26"/>
        <v>12000</v>
      </c>
      <c r="H152" s="30"/>
      <c r="I152" s="31"/>
    </row>
    <row r="153" ht="15.75" customHeight="1"/>
    <row r="154" ht="15.75" customHeight="1">
      <c r="B154" s="14">
        <v>46085.0</v>
      </c>
      <c r="C154" s="40" t="s">
        <v>215</v>
      </c>
      <c r="D154" s="15">
        <v>200.0</v>
      </c>
      <c r="E154" s="12"/>
      <c r="F154" s="15">
        <v>60.0</v>
      </c>
      <c r="G154" s="17">
        <f t="shared" ref="G154:G155" si="27">+F154*D154</f>
        <v>12000</v>
      </c>
      <c r="H154" s="18">
        <f>+G154+G155</f>
        <v>18000</v>
      </c>
      <c r="I154" s="21">
        <v>279.0</v>
      </c>
    </row>
    <row r="155" ht="15.75" customHeight="1">
      <c r="B155" s="23"/>
      <c r="C155" s="40" t="s">
        <v>216</v>
      </c>
      <c r="D155" s="24">
        <v>100.0</v>
      </c>
      <c r="E155" s="25"/>
      <c r="F155" s="24">
        <v>60.0</v>
      </c>
      <c r="G155" s="29">
        <f t="shared" si="27"/>
        <v>6000</v>
      </c>
      <c r="H155" s="30"/>
      <c r="I155" s="31"/>
    </row>
    <row r="156" ht="15.75" customHeight="1"/>
    <row r="157" ht="15.75" customHeight="1">
      <c r="B157" s="14">
        <v>46086.0</v>
      </c>
      <c r="C157" s="40" t="s">
        <v>215</v>
      </c>
      <c r="D157" s="15">
        <v>200.0</v>
      </c>
      <c r="E157" s="12"/>
      <c r="F157" s="15">
        <v>60.0</v>
      </c>
      <c r="G157" s="17">
        <f t="shared" ref="G157:G158" si="28">+F157*D157</f>
        <v>12000</v>
      </c>
      <c r="H157" s="18">
        <f>+G157+G158</f>
        <v>24000</v>
      </c>
      <c r="I157" s="21">
        <v>281.0</v>
      </c>
    </row>
    <row r="158" ht="15.75" customHeight="1">
      <c r="B158" s="23"/>
      <c r="C158" s="40" t="s">
        <v>216</v>
      </c>
      <c r="D158" s="24">
        <v>200.0</v>
      </c>
      <c r="E158" s="25"/>
      <c r="F158" s="24">
        <v>60.0</v>
      </c>
      <c r="G158" s="29">
        <f t="shared" si="28"/>
        <v>12000</v>
      </c>
      <c r="H158" s="30"/>
      <c r="I158" s="31"/>
    </row>
    <row r="159" ht="15.75" customHeight="1"/>
    <row r="160" ht="15.75" customHeight="1">
      <c r="B160" s="14">
        <v>46091.0</v>
      </c>
      <c r="C160" s="40" t="s">
        <v>215</v>
      </c>
      <c r="D160" s="15">
        <v>100.0</v>
      </c>
      <c r="E160" s="12"/>
      <c r="F160" s="15">
        <v>60.0</v>
      </c>
      <c r="G160" s="17">
        <f t="shared" ref="G160:G161" si="29">+F160*D160</f>
        <v>6000</v>
      </c>
      <c r="H160" s="18">
        <f>+G160+G161</f>
        <v>12000</v>
      </c>
      <c r="I160" s="21">
        <v>289.0</v>
      </c>
    </row>
    <row r="161" ht="15.75" customHeight="1">
      <c r="B161" s="23"/>
      <c r="C161" s="40" t="s">
        <v>225</v>
      </c>
      <c r="D161" s="24">
        <v>100.0</v>
      </c>
      <c r="E161" s="25"/>
      <c r="F161" s="24">
        <v>60.0</v>
      </c>
      <c r="G161" s="29">
        <f t="shared" si="29"/>
        <v>6000</v>
      </c>
      <c r="H161" s="30"/>
      <c r="I161" s="31"/>
    </row>
    <row r="162" ht="15.75" customHeight="1"/>
    <row r="163" ht="15.75" customHeight="1">
      <c r="B163" s="14">
        <v>46093.0</v>
      </c>
      <c r="C163" s="40" t="s">
        <v>215</v>
      </c>
      <c r="D163" s="15">
        <v>200.0</v>
      </c>
      <c r="E163" s="12"/>
      <c r="F163" s="15">
        <v>60.0</v>
      </c>
      <c r="G163" s="17">
        <f t="shared" ref="G163:G164" si="30">+F163*D163</f>
        <v>12000</v>
      </c>
      <c r="H163" s="18">
        <f>+G163+G164</f>
        <v>24000</v>
      </c>
      <c r="I163" s="21">
        <v>294.0</v>
      </c>
    </row>
    <row r="164" ht="15.75" customHeight="1">
      <c r="B164" s="23"/>
      <c r="C164" s="40" t="s">
        <v>225</v>
      </c>
      <c r="D164" s="24">
        <v>200.0</v>
      </c>
      <c r="E164" s="25"/>
      <c r="F164" s="24">
        <v>60.0</v>
      </c>
      <c r="G164" s="29">
        <f t="shared" si="30"/>
        <v>12000</v>
      </c>
      <c r="H164" s="30"/>
      <c r="I164" s="31"/>
    </row>
    <row r="165" ht="15.75" customHeight="1"/>
    <row r="166" ht="15.75" customHeight="1">
      <c r="B166" s="130">
        <v>46107.0</v>
      </c>
      <c r="C166" s="131" t="s">
        <v>230</v>
      </c>
      <c r="D166" s="132">
        <v>700.0</v>
      </c>
      <c r="E166" s="67"/>
      <c r="F166" s="66">
        <v>50.0</v>
      </c>
      <c r="G166" s="68">
        <v>35000.0</v>
      </c>
      <c r="H166" s="69">
        <v>110000.0</v>
      </c>
      <c r="I166" s="70">
        <v>306.0</v>
      </c>
    </row>
    <row r="167" ht="15.75" customHeight="1">
      <c r="B167" s="23"/>
      <c r="C167" s="131" t="s">
        <v>234</v>
      </c>
      <c r="D167" s="134">
        <v>1500.0</v>
      </c>
      <c r="E167" s="74"/>
      <c r="F167" s="73">
        <v>50.0</v>
      </c>
      <c r="G167" s="75">
        <v>75000.0</v>
      </c>
      <c r="H167" s="30"/>
      <c r="I167" s="31"/>
    </row>
    <row r="168" ht="15.75" customHeight="1"/>
    <row r="169" ht="15.75" customHeight="1">
      <c r="B169" s="135">
        <v>46113.0</v>
      </c>
      <c r="C169" s="65" t="s">
        <v>237</v>
      </c>
      <c r="D169" s="77">
        <v>100.0</v>
      </c>
      <c r="E169" s="79"/>
      <c r="F169" s="77">
        <v>50.0</v>
      </c>
      <c r="G169" s="81">
        <v>5000.0</v>
      </c>
      <c r="H169" s="81">
        <v>5000.0</v>
      </c>
      <c r="I169" s="82">
        <v>315.0</v>
      </c>
    </row>
    <row r="170" ht="15.75" customHeight="1"/>
    <row r="171" ht="15.75" customHeight="1">
      <c r="B171" s="64">
        <v>46113.0</v>
      </c>
      <c r="C171" s="65" t="s">
        <v>240</v>
      </c>
      <c r="D171" s="66">
        <v>500.0</v>
      </c>
      <c r="E171" s="67"/>
      <c r="F171" s="66">
        <v>30.0</v>
      </c>
      <c r="G171" s="68">
        <v>15000.0</v>
      </c>
      <c r="H171" s="69">
        <v>165000.0</v>
      </c>
      <c r="I171" s="70">
        <v>312.0</v>
      </c>
      <c r="J171" s="83"/>
    </row>
    <row r="172" ht="15.75" customHeight="1">
      <c r="B172" s="20"/>
      <c r="C172" s="65" t="s">
        <v>243</v>
      </c>
      <c r="D172" s="65">
        <v>500.0</v>
      </c>
      <c r="E172" s="71"/>
      <c r="F172" s="65">
        <v>30.0</v>
      </c>
      <c r="G172" s="72">
        <v>15000.0</v>
      </c>
      <c r="H172" s="27"/>
      <c r="I172" s="28"/>
      <c r="J172" s="83"/>
    </row>
    <row r="173" ht="15.75" customHeight="1">
      <c r="B173" s="20"/>
      <c r="C173" s="65" t="s">
        <v>246</v>
      </c>
      <c r="D173" s="65">
        <v>2000.0</v>
      </c>
      <c r="E173" s="71"/>
      <c r="F173" s="65">
        <v>60.0</v>
      </c>
      <c r="G173" s="72">
        <v>120000.0</v>
      </c>
      <c r="H173" s="27"/>
      <c r="I173" s="28"/>
      <c r="J173" s="83"/>
    </row>
    <row r="174" ht="15.75" customHeight="1">
      <c r="B174" s="20"/>
      <c r="C174" s="65" t="s">
        <v>247</v>
      </c>
      <c r="D174" s="65">
        <v>200.0</v>
      </c>
      <c r="E174" s="71"/>
      <c r="F174" s="65">
        <v>50.0</v>
      </c>
      <c r="G174" s="72">
        <v>10000.0</v>
      </c>
      <c r="H174" s="27"/>
      <c r="I174" s="28"/>
      <c r="J174" s="83"/>
    </row>
    <row r="175" ht="15.75" customHeight="1">
      <c r="B175" s="23"/>
      <c r="C175" s="65" t="s">
        <v>249</v>
      </c>
      <c r="D175" s="73">
        <v>100.0</v>
      </c>
      <c r="E175" s="73"/>
      <c r="F175" s="73">
        <v>50.0</v>
      </c>
      <c r="G175" s="75">
        <v>5000.0</v>
      </c>
      <c r="H175" s="30"/>
      <c r="I175" s="31"/>
      <c r="J175" s="83"/>
      <c r="M175" s="83"/>
    </row>
    <row r="176" ht="15.75" customHeight="1">
      <c r="B176" s="83"/>
      <c r="C176" s="83"/>
      <c r="D176" s="83"/>
      <c r="E176" s="83"/>
      <c r="F176" s="83"/>
      <c r="G176" s="83"/>
      <c r="H176" s="83"/>
      <c r="I176" s="83"/>
      <c r="J176" s="83"/>
      <c r="M176" s="83"/>
    </row>
    <row r="177" ht="15.75" customHeight="1">
      <c r="B177" s="64">
        <v>46114.0</v>
      </c>
      <c r="C177" s="65" t="s">
        <v>252</v>
      </c>
      <c r="D177" s="66">
        <v>300.0</v>
      </c>
      <c r="E177" s="67"/>
      <c r="F177" s="66">
        <v>50.0</v>
      </c>
      <c r="G177" s="68">
        <v>15000.0</v>
      </c>
      <c r="H177" s="69">
        <v>20000.0</v>
      </c>
      <c r="I177" s="70">
        <v>317.0</v>
      </c>
      <c r="J177" s="83"/>
      <c r="K177" s="83"/>
    </row>
    <row r="178" ht="15.75" customHeight="1">
      <c r="B178" s="23"/>
      <c r="C178" s="65" t="s">
        <v>256</v>
      </c>
      <c r="D178" s="73">
        <v>100.0</v>
      </c>
      <c r="E178" s="74"/>
      <c r="F178" s="73">
        <v>50.0</v>
      </c>
      <c r="G178" s="75">
        <v>5000.0</v>
      </c>
      <c r="H178" s="30"/>
      <c r="I178" s="31"/>
      <c r="J178" s="83"/>
      <c r="K178" s="83"/>
      <c r="N178" s="140">
        <v>46121.0</v>
      </c>
      <c r="O178" s="102" t="s">
        <v>258</v>
      </c>
    </row>
    <row r="179" ht="15.75" customHeight="1"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N179" s="102" t="s">
        <v>259</v>
      </c>
    </row>
    <row r="180" ht="15.75" customHeight="1">
      <c r="B180" s="135">
        <v>46116.0</v>
      </c>
      <c r="C180" s="77" t="s">
        <v>261</v>
      </c>
      <c r="D180" s="77">
        <v>500.0</v>
      </c>
      <c r="E180" s="79"/>
      <c r="F180" s="77">
        <v>60.0</v>
      </c>
      <c r="G180" s="81">
        <v>30000.0</v>
      </c>
      <c r="H180" s="81">
        <v>30000.0</v>
      </c>
      <c r="I180" s="82">
        <v>320.0</v>
      </c>
      <c r="J180" s="83"/>
      <c r="K180" s="83"/>
      <c r="N180" s="102" t="s">
        <v>263</v>
      </c>
    </row>
    <row r="181" ht="15.75" customHeight="1"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N181" s="102" t="s">
        <v>266</v>
      </c>
    </row>
    <row r="182" ht="15.75" customHeight="1">
      <c r="B182" s="135">
        <v>46118.0</v>
      </c>
      <c r="C182" s="77" t="s">
        <v>267</v>
      </c>
      <c r="D182" s="77">
        <v>500.0</v>
      </c>
      <c r="E182" s="79"/>
      <c r="F182" s="77">
        <v>60.0</v>
      </c>
      <c r="G182" s="81">
        <v>30000.0</v>
      </c>
      <c r="H182" s="81">
        <v>30000.0</v>
      </c>
      <c r="I182" s="82">
        <v>325.0</v>
      </c>
      <c r="J182" s="83"/>
      <c r="K182" s="133"/>
    </row>
    <row r="183" ht="15.75" customHeight="1">
      <c r="B183" s="83"/>
      <c r="C183" s="83"/>
      <c r="D183" s="83"/>
      <c r="E183" s="83"/>
      <c r="F183" s="83"/>
      <c r="G183" s="83"/>
      <c r="H183" s="83"/>
      <c r="I183" s="83"/>
      <c r="J183" s="83"/>
      <c r="K183" s="83"/>
    </row>
    <row r="184" ht="15.75" customHeight="1">
      <c r="B184" s="64">
        <v>46121.0</v>
      </c>
      <c r="C184" s="66" t="s">
        <v>269</v>
      </c>
      <c r="D184" s="66">
        <v>400.0</v>
      </c>
      <c r="E184" s="67"/>
      <c r="F184" s="66">
        <v>80.0</v>
      </c>
      <c r="G184" s="68">
        <v>32000.0</v>
      </c>
      <c r="H184" s="69">
        <v>80000.0</v>
      </c>
      <c r="I184" s="70">
        <v>332.0</v>
      </c>
      <c r="J184" s="83"/>
      <c r="K184" s="83"/>
    </row>
    <row r="185" ht="15.75" customHeight="1">
      <c r="B185" s="23"/>
      <c r="C185" s="73" t="s">
        <v>272</v>
      </c>
      <c r="D185" s="73">
        <v>600.0</v>
      </c>
      <c r="E185" s="74"/>
      <c r="F185" s="73">
        <v>80.0</v>
      </c>
      <c r="G185" s="75">
        <v>48000.0</v>
      </c>
      <c r="H185" s="30"/>
      <c r="I185" s="31"/>
      <c r="J185" s="83"/>
      <c r="K185" s="83"/>
    </row>
    <row r="186" ht="15.75" customHeight="1">
      <c r="B186" s="83"/>
      <c r="C186" s="141"/>
      <c r="D186" s="83"/>
      <c r="F186" s="83"/>
      <c r="H186" s="83"/>
      <c r="J186" s="83"/>
      <c r="K186" s="83"/>
    </row>
    <row r="187" ht="15.75" customHeight="1">
      <c r="B187" s="135">
        <v>46125.0</v>
      </c>
      <c r="C187" s="73" t="s">
        <v>274</v>
      </c>
      <c r="D187" s="77">
        <v>600.0</v>
      </c>
      <c r="E187" s="79"/>
      <c r="F187" s="77">
        <v>85.0</v>
      </c>
      <c r="G187" s="81">
        <f>F187*D187</f>
        <v>51000</v>
      </c>
      <c r="H187" s="81">
        <f>G187</f>
        <v>51000</v>
      </c>
      <c r="I187" s="82">
        <v>340.0</v>
      </c>
      <c r="J187" s="83"/>
      <c r="K187" s="83"/>
    </row>
    <row r="188" ht="15.75" customHeight="1">
      <c r="B188" s="83"/>
      <c r="C188" s="141"/>
      <c r="D188" s="83"/>
      <c r="F188" s="83"/>
      <c r="H188" s="83"/>
      <c r="J188" s="83"/>
      <c r="K188" s="83"/>
    </row>
    <row r="189" ht="15.75" customHeight="1">
      <c r="B189" s="76">
        <v>46126.0</v>
      </c>
      <c r="C189" s="144" t="s">
        <v>279</v>
      </c>
      <c r="D189" s="77">
        <v>400.0</v>
      </c>
      <c r="E189" s="145"/>
      <c r="F189" s="77">
        <v>85.0</v>
      </c>
      <c r="G189" s="147">
        <f>F189*D189</f>
        <v>34000</v>
      </c>
      <c r="H189" s="147">
        <v>34000.0</v>
      </c>
      <c r="I189" s="148">
        <v>342.0</v>
      </c>
      <c r="J189" s="83"/>
      <c r="K189" s="83"/>
    </row>
    <row r="190" ht="15.75" customHeight="1">
      <c r="B190" s="83"/>
      <c r="C190" s="141"/>
      <c r="D190" s="83"/>
      <c r="F190" s="83"/>
      <c r="G190" s="83"/>
      <c r="H190" s="83"/>
      <c r="J190" s="83"/>
      <c r="K190" s="83"/>
    </row>
    <row r="191" ht="15.75" customHeight="1">
      <c r="B191" s="64">
        <v>46128.0</v>
      </c>
      <c r="C191" s="66" t="s">
        <v>269</v>
      </c>
      <c r="D191" s="66">
        <v>300.0</v>
      </c>
      <c r="E191" s="67"/>
      <c r="F191" s="66">
        <v>80.0</v>
      </c>
      <c r="G191" s="68">
        <f t="shared" ref="G191:G192" si="31">F191*D191</f>
        <v>24000</v>
      </c>
      <c r="H191" s="69">
        <f>G191+G192</f>
        <v>45120</v>
      </c>
      <c r="I191" s="149">
        <v>332.0</v>
      </c>
      <c r="J191" s="83"/>
      <c r="K191" s="83"/>
      <c r="L191" s="83"/>
    </row>
    <row r="192" ht="15.75" customHeight="1">
      <c r="B192" s="23"/>
      <c r="C192" s="73" t="s">
        <v>288</v>
      </c>
      <c r="D192" s="73">
        <v>352.0</v>
      </c>
      <c r="E192" s="74"/>
      <c r="F192" s="73">
        <v>60.0</v>
      </c>
      <c r="G192" s="68">
        <f t="shared" si="31"/>
        <v>21120</v>
      </c>
      <c r="H192" s="30"/>
      <c r="I192" s="150"/>
      <c r="J192" s="83"/>
      <c r="K192" s="83"/>
      <c r="L192" s="83"/>
    </row>
    <row r="193" ht="15.75" customHeight="1"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</row>
    <row r="194" ht="15.75" customHeight="1">
      <c r="B194" s="76">
        <v>46130.0</v>
      </c>
      <c r="C194" s="77" t="s">
        <v>290</v>
      </c>
      <c r="D194" s="77">
        <v>253.0</v>
      </c>
      <c r="E194" s="151"/>
      <c r="F194" s="77">
        <v>80.0</v>
      </c>
      <c r="G194" s="81">
        <v>20240.0</v>
      </c>
      <c r="H194" s="81">
        <v>20240.0</v>
      </c>
      <c r="I194" s="82">
        <v>350.0</v>
      </c>
      <c r="J194" s="83"/>
      <c r="K194" s="83"/>
      <c r="L194" s="83"/>
    </row>
    <row r="195" ht="15.75" customHeight="1">
      <c r="B195" s="142"/>
      <c r="C195" s="142"/>
      <c r="D195" s="142"/>
      <c r="E195" s="142"/>
      <c r="F195" s="142"/>
      <c r="G195" s="142"/>
      <c r="H195" s="142"/>
      <c r="I195" s="142"/>
      <c r="J195" s="83"/>
      <c r="K195" s="83"/>
      <c r="L195" s="83"/>
    </row>
    <row r="196" ht="15.75" customHeight="1">
      <c r="B196" s="84">
        <v>46131.0</v>
      </c>
      <c r="C196" s="66" t="s">
        <v>295</v>
      </c>
      <c r="D196" s="66">
        <v>500.0</v>
      </c>
      <c r="E196" s="152"/>
      <c r="F196" s="66">
        <v>80.0</v>
      </c>
      <c r="G196" s="68">
        <v>40000.0</v>
      </c>
      <c r="H196" s="69">
        <v>84900.0</v>
      </c>
      <c r="I196" s="70">
        <v>353.0</v>
      </c>
      <c r="J196" s="83"/>
      <c r="K196" s="83"/>
      <c r="L196" s="83"/>
    </row>
    <row r="197" ht="15.75" customHeight="1">
      <c r="B197" s="20"/>
      <c r="C197" s="65" t="s">
        <v>302</v>
      </c>
      <c r="D197" s="65">
        <v>400.0</v>
      </c>
      <c r="E197" s="71"/>
      <c r="F197" s="65">
        <v>80.0</v>
      </c>
      <c r="G197" s="72">
        <v>32000.0</v>
      </c>
      <c r="H197" s="27"/>
      <c r="I197" s="28"/>
      <c r="J197" s="83"/>
      <c r="K197" s="83"/>
      <c r="L197" s="83"/>
    </row>
    <row r="198" ht="15.75" customHeight="1">
      <c r="B198" s="23"/>
      <c r="C198" s="73" t="s">
        <v>303</v>
      </c>
      <c r="D198" s="73">
        <v>215.0</v>
      </c>
      <c r="E198" s="74"/>
      <c r="F198" s="73">
        <v>60.0</v>
      </c>
      <c r="G198" s="75">
        <v>12900.0</v>
      </c>
      <c r="H198" s="30"/>
      <c r="I198" s="31"/>
      <c r="J198" s="83"/>
      <c r="K198" s="83"/>
      <c r="L198" s="83"/>
    </row>
    <row r="199" ht="15.75" customHeight="1"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</row>
    <row r="200" ht="15.75" customHeight="1">
      <c r="B200" s="84">
        <v>46132.0</v>
      </c>
      <c r="C200" s="66" t="s">
        <v>306</v>
      </c>
      <c r="D200" s="66">
        <v>400.0</v>
      </c>
      <c r="E200" s="67"/>
      <c r="F200" s="66">
        <v>80.0</v>
      </c>
      <c r="G200" s="68">
        <v>32000.0</v>
      </c>
      <c r="H200" s="69">
        <v>82040.0</v>
      </c>
      <c r="I200" s="70">
        <v>357.0</v>
      </c>
      <c r="J200" s="83"/>
      <c r="K200" s="83"/>
      <c r="L200" s="83"/>
    </row>
    <row r="201" ht="15.75" customHeight="1">
      <c r="B201" s="20"/>
      <c r="C201" s="65" t="s">
        <v>309</v>
      </c>
      <c r="D201" s="65">
        <v>300.0</v>
      </c>
      <c r="E201" s="65"/>
      <c r="F201" s="65">
        <v>80.0</v>
      </c>
      <c r="G201" s="72">
        <v>24000.0</v>
      </c>
      <c r="H201" s="27"/>
      <c r="I201" s="28"/>
      <c r="J201" s="83"/>
      <c r="K201" s="83"/>
      <c r="L201" s="83"/>
    </row>
    <row r="202" ht="15.75" customHeight="1">
      <c r="B202" s="20"/>
      <c r="C202" s="65" t="s">
        <v>312</v>
      </c>
      <c r="D202" s="65">
        <v>100.0</v>
      </c>
      <c r="E202" s="71"/>
      <c r="F202" s="65">
        <v>60.0</v>
      </c>
      <c r="G202" s="72">
        <v>6000.0</v>
      </c>
      <c r="H202" s="27"/>
      <c r="I202" s="28"/>
      <c r="J202" s="83"/>
      <c r="K202" s="83"/>
      <c r="L202" s="83"/>
    </row>
    <row r="203" ht="15.75" customHeight="1">
      <c r="B203" s="20"/>
      <c r="C203" s="65" t="s">
        <v>314</v>
      </c>
      <c r="D203" s="65">
        <v>250.0</v>
      </c>
      <c r="E203" s="71"/>
      <c r="F203" s="65">
        <v>60.0</v>
      </c>
      <c r="G203" s="72">
        <v>15000.0</v>
      </c>
      <c r="H203" s="27"/>
      <c r="I203" s="28"/>
      <c r="J203" s="83"/>
      <c r="K203" s="83"/>
      <c r="L203" s="83"/>
    </row>
    <row r="204" ht="15.75" customHeight="1">
      <c r="B204" s="23"/>
      <c r="C204" s="73" t="s">
        <v>315</v>
      </c>
      <c r="D204" s="73">
        <v>84.0</v>
      </c>
      <c r="E204" s="74"/>
      <c r="F204" s="73">
        <v>60.0</v>
      </c>
      <c r="G204" s="75">
        <v>5040.0</v>
      </c>
      <c r="H204" s="30"/>
      <c r="I204" s="31"/>
      <c r="J204" s="83"/>
      <c r="K204" s="83"/>
    </row>
    <row r="205" ht="15.75" customHeight="1"/>
    <row r="206" ht="15.75" customHeight="1">
      <c r="B206" s="84">
        <v>46133.0</v>
      </c>
      <c r="C206" s="66" t="s">
        <v>318</v>
      </c>
      <c r="D206" s="66">
        <v>66.0</v>
      </c>
      <c r="E206" s="67"/>
      <c r="F206" s="66">
        <v>60.0</v>
      </c>
      <c r="G206" s="157">
        <v>3960.0</v>
      </c>
      <c r="H206" s="159">
        <v>27960.0</v>
      </c>
      <c r="I206" s="70">
        <v>362.0</v>
      </c>
    </row>
    <row r="207" ht="15.75" customHeight="1">
      <c r="B207" s="23"/>
      <c r="C207" s="73" t="s">
        <v>322</v>
      </c>
      <c r="D207" s="73">
        <v>300.0</v>
      </c>
      <c r="E207" s="74"/>
      <c r="F207" s="73">
        <v>80.0</v>
      </c>
      <c r="G207" s="160">
        <v>24000.0</v>
      </c>
      <c r="H207" s="30"/>
      <c r="I207" s="31"/>
    </row>
    <row r="208" ht="15.75" customHeight="1">
      <c r="B208" s="83"/>
      <c r="C208" s="83"/>
      <c r="D208" s="83"/>
      <c r="E208" s="83"/>
      <c r="F208" s="83"/>
      <c r="G208" s="161"/>
      <c r="H208" s="161"/>
      <c r="I208" s="83"/>
    </row>
    <row r="209" ht="15.75" customHeight="1">
      <c r="B209" s="76">
        <v>46134.0</v>
      </c>
      <c r="C209" s="77" t="s">
        <v>322</v>
      </c>
      <c r="D209" s="77">
        <v>300.0</v>
      </c>
      <c r="E209" s="79"/>
      <c r="F209" s="77">
        <v>80.0</v>
      </c>
      <c r="G209" s="163">
        <v>24000.0</v>
      </c>
      <c r="H209" s="163">
        <v>24000.0</v>
      </c>
      <c r="I209" s="82">
        <v>363.0</v>
      </c>
    </row>
    <row r="210" ht="15.75" customHeight="1">
      <c r="B210" s="83"/>
      <c r="C210" s="83"/>
      <c r="D210" s="83"/>
      <c r="E210" s="83"/>
      <c r="F210" s="83"/>
      <c r="G210" s="161"/>
      <c r="H210" s="161"/>
      <c r="I210" s="83"/>
    </row>
    <row r="211" ht="15.75" customHeight="1">
      <c r="B211" s="84">
        <v>46141.0</v>
      </c>
      <c r="C211" s="66" t="s">
        <v>326</v>
      </c>
      <c r="D211" s="66">
        <v>200.0</v>
      </c>
      <c r="E211" s="67"/>
      <c r="F211" s="66">
        <v>60.0</v>
      </c>
      <c r="G211" s="157">
        <f t="shared" ref="G211:G212" si="32">F211*D211</f>
        <v>12000</v>
      </c>
      <c r="H211" s="159">
        <f>G211+G212</f>
        <v>24000</v>
      </c>
      <c r="I211" s="70">
        <v>377.0</v>
      </c>
    </row>
    <row r="212" ht="15.75" customHeight="1">
      <c r="B212" s="23"/>
      <c r="C212" s="73" t="s">
        <v>332</v>
      </c>
      <c r="D212" s="73">
        <v>200.0</v>
      </c>
      <c r="E212" s="74"/>
      <c r="F212" s="73">
        <v>60.0</v>
      </c>
      <c r="G212" s="157">
        <f t="shared" si="32"/>
        <v>12000</v>
      </c>
      <c r="H212" s="30"/>
      <c r="I212" s="31"/>
    </row>
    <row r="213" ht="15.75" customHeight="1">
      <c r="B213" s="83"/>
      <c r="C213" s="83"/>
      <c r="D213" s="83"/>
      <c r="E213" s="83"/>
      <c r="F213" s="83"/>
      <c r="G213" s="161"/>
      <c r="H213" s="161"/>
      <c r="I213" s="83"/>
    </row>
    <row r="214" ht="15.75" customHeight="1">
      <c r="B214" s="84">
        <v>46142.0</v>
      </c>
      <c r="C214" s="66" t="s">
        <v>334</v>
      </c>
      <c r="D214" s="66">
        <v>349.0</v>
      </c>
      <c r="E214" s="67"/>
      <c r="F214" s="66">
        <v>60.0</v>
      </c>
      <c r="G214" s="157">
        <v>20940.0</v>
      </c>
      <c r="H214" s="159">
        <v>30540.0</v>
      </c>
      <c r="I214" s="70">
        <v>379.0</v>
      </c>
    </row>
    <row r="215" ht="15.75" customHeight="1">
      <c r="B215" s="23"/>
      <c r="C215" s="73" t="s">
        <v>335</v>
      </c>
      <c r="D215" s="73">
        <v>150.0</v>
      </c>
      <c r="E215" s="74"/>
      <c r="F215" s="73">
        <v>64.0</v>
      </c>
      <c r="G215" s="160">
        <v>9600.0</v>
      </c>
      <c r="H215" s="30"/>
      <c r="I215" s="31"/>
    </row>
    <row r="216" ht="15.75" customHeight="1">
      <c r="B216" s="83"/>
      <c r="C216" s="83"/>
      <c r="D216" s="83"/>
      <c r="E216" s="83"/>
      <c r="F216" s="83"/>
      <c r="G216" s="161"/>
      <c r="H216" s="161"/>
      <c r="I216" s="83"/>
    </row>
    <row r="217" ht="15.75" customHeight="1">
      <c r="B217" s="84">
        <v>46154.0</v>
      </c>
      <c r="C217" s="66" t="s">
        <v>334</v>
      </c>
      <c r="D217" s="66">
        <v>100.0</v>
      </c>
      <c r="E217" s="67"/>
      <c r="F217" s="66">
        <v>60.0</v>
      </c>
      <c r="G217" s="157">
        <f t="shared" ref="G217:G218" si="33">F217*D217</f>
        <v>6000</v>
      </c>
      <c r="H217" s="159">
        <f>G217+G218</f>
        <v>8700</v>
      </c>
      <c r="I217" s="70">
        <v>399.0</v>
      </c>
    </row>
    <row r="218" ht="15.75" customHeight="1">
      <c r="B218" s="23"/>
      <c r="C218" s="73" t="s">
        <v>339</v>
      </c>
      <c r="D218" s="73">
        <v>45.0</v>
      </c>
      <c r="E218" s="74"/>
      <c r="F218" s="73">
        <v>60.0</v>
      </c>
      <c r="G218" s="157">
        <f t="shared" si="33"/>
        <v>2700</v>
      </c>
      <c r="H218" s="30"/>
      <c r="I218" s="31"/>
    </row>
    <row r="219" ht="15.75" customHeight="1">
      <c r="B219" s="83"/>
      <c r="C219" s="83"/>
      <c r="D219" s="133"/>
      <c r="E219" s="83"/>
      <c r="F219" s="83"/>
      <c r="G219" s="161"/>
      <c r="H219" s="161"/>
      <c r="I219" s="83"/>
    </row>
    <row r="220" ht="15.75" customHeight="1">
      <c r="B220" s="84">
        <v>46159.0</v>
      </c>
      <c r="C220" s="66" t="s">
        <v>334</v>
      </c>
      <c r="D220" s="66">
        <v>345.0</v>
      </c>
      <c r="E220" s="67"/>
      <c r="F220" s="66">
        <v>60.0</v>
      </c>
      <c r="G220" s="157">
        <f t="shared" ref="G220:G221" si="34">F220*D220</f>
        <v>20700</v>
      </c>
      <c r="H220" s="159">
        <f>G220+G221</f>
        <v>34500</v>
      </c>
      <c r="I220" s="70">
        <v>403.0</v>
      </c>
    </row>
    <row r="221" ht="15.75" customHeight="1">
      <c r="B221" s="23"/>
      <c r="C221" s="73" t="s">
        <v>339</v>
      </c>
      <c r="D221" s="73">
        <v>230.0</v>
      </c>
      <c r="E221" s="74"/>
      <c r="F221" s="73">
        <v>60.0</v>
      </c>
      <c r="G221" s="157">
        <f t="shared" si="34"/>
        <v>13800</v>
      </c>
      <c r="H221" s="30"/>
      <c r="I221" s="31"/>
    </row>
    <row r="222" ht="15.75" customHeight="1">
      <c r="B222" s="83"/>
      <c r="C222" s="83"/>
      <c r="D222" s="83"/>
      <c r="E222" s="83"/>
      <c r="F222" s="83"/>
      <c r="G222" s="161"/>
      <c r="H222" s="161"/>
      <c r="I222" s="83"/>
    </row>
    <row r="223" ht="15.75" customHeight="1">
      <c r="B223" s="165">
        <v>46181.0</v>
      </c>
      <c r="C223" s="65" t="s">
        <v>347</v>
      </c>
      <c r="D223" s="65">
        <v>300.0</v>
      </c>
      <c r="E223" s="71"/>
      <c r="F223" s="65">
        <v>60.0</v>
      </c>
      <c r="G223" s="166">
        <v>18000.0</v>
      </c>
      <c r="H223" s="167">
        <v>23000.0</v>
      </c>
      <c r="I223" s="122">
        <v>409.0</v>
      </c>
    </row>
    <row r="224" ht="15.75" customHeight="1">
      <c r="B224" s="164"/>
      <c r="C224" s="65" t="s">
        <v>348</v>
      </c>
      <c r="D224" s="65">
        <v>100.0</v>
      </c>
      <c r="E224" s="71"/>
      <c r="F224" s="65">
        <v>50.0</v>
      </c>
      <c r="G224" s="166">
        <v>5000.0</v>
      </c>
      <c r="H224" s="164"/>
      <c r="I224" s="164"/>
    </row>
    <row r="225" ht="15.75" customHeight="1">
      <c r="B225" s="83"/>
      <c r="C225" s="83"/>
      <c r="D225" s="83"/>
      <c r="E225" s="83"/>
      <c r="F225" s="83"/>
      <c r="G225" s="161"/>
      <c r="H225" s="161"/>
      <c r="I225" s="83"/>
    </row>
    <row r="226" ht="15.75" customHeight="1">
      <c r="B226" s="84">
        <v>46184.0</v>
      </c>
      <c r="C226" s="66" t="s">
        <v>349</v>
      </c>
      <c r="D226" s="66">
        <v>300.0</v>
      </c>
      <c r="E226" s="152"/>
      <c r="F226" s="66">
        <v>68.0</v>
      </c>
      <c r="G226" s="68">
        <f t="shared" ref="G226:G228" si="35">F226*D226</f>
        <v>20400</v>
      </c>
      <c r="H226" s="69">
        <f>G226+G227+G228</f>
        <v>61440</v>
      </c>
      <c r="I226" s="70">
        <v>415.0</v>
      </c>
    </row>
    <row r="227" ht="15.75" customHeight="1">
      <c r="B227" s="20"/>
      <c r="C227" s="66" t="s">
        <v>350</v>
      </c>
      <c r="D227" s="65">
        <v>450.0</v>
      </c>
      <c r="E227" s="71"/>
      <c r="F227" s="65">
        <v>68.0</v>
      </c>
      <c r="G227" s="68">
        <f t="shared" si="35"/>
        <v>30600</v>
      </c>
      <c r="H227" s="27"/>
      <c r="I227" s="28"/>
    </row>
    <row r="228" ht="15.75" customHeight="1">
      <c r="B228" s="23"/>
      <c r="C228" s="73" t="s">
        <v>351</v>
      </c>
      <c r="D228" s="73">
        <v>174.0</v>
      </c>
      <c r="E228" s="74"/>
      <c r="F228" s="73">
        <v>60.0</v>
      </c>
      <c r="G228" s="68">
        <f t="shared" si="35"/>
        <v>10440</v>
      </c>
      <c r="H228" s="30"/>
      <c r="I228" s="31"/>
      <c r="J228" s="168" t="s">
        <v>352</v>
      </c>
    </row>
    <row r="229" ht="15.75" customHeight="1">
      <c r="B229" s="83"/>
      <c r="C229" s="83"/>
      <c r="D229" s="83"/>
      <c r="E229" s="83"/>
      <c r="F229" s="83"/>
      <c r="G229" s="161"/>
      <c r="H229" s="161"/>
      <c r="I229" s="83"/>
    </row>
    <row r="230" ht="15.75" customHeight="1">
      <c r="B230" s="84">
        <v>46187.0</v>
      </c>
      <c r="C230" s="65" t="s">
        <v>353</v>
      </c>
      <c r="D230" s="66">
        <v>105.0</v>
      </c>
      <c r="E230" s="67"/>
      <c r="F230" s="66">
        <v>60.0</v>
      </c>
      <c r="G230" s="68">
        <f t="shared" ref="G230:G234" si="36">F230*D230</f>
        <v>6300</v>
      </c>
      <c r="H230" s="69">
        <f>G230+G231+G232+G233+G234</f>
        <v>60120</v>
      </c>
      <c r="I230" s="70">
        <v>418.0</v>
      </c>
      <c r="J230" s="168" t="s">
        <v>354</v>
      </c>
    </row>
    <row r="231" ht="15.75" customHeight="1">
      <c r="B231" s="20"/>
      <c r="C231" s="65" t="s">
        <v>355</v>
      </c>
      <c r="D231" s="65">
        <v>43.0</v>
      </c>
      <c r="E231" s="65"/>
      <c r="F231" s="65">
        <v>60.0</v>
      </c>
      <c r="G231" s="68">
        <f t="shared" si="36"/>
        <v>2580</v>
      </c>
      <c r="H231" s="27"/>
      <c r="I231" s="28"/>
      <c r="J231" s="168" t="s">
        <v>356</v>
      </c>
    </row>
    <row r="232" ht="15.75" customHeight="1">
      <c r="B232" s="20"/>
      <c r="C232" s="65" t="s">
        <v>357</v>
      </c>
      <c r="D232" s="65">
        <v>49.0</v>
      </c>
      <c r="E232" s="71"/>
      <c r="F232" s="65">
        <v>60.0</v>
      </c>
      <c r="G232" s="68">
        <f t="shared" si="36"/>
        <v>2940</v>
      </c>
      <c r="H232" s="27"/>
      <c r="I232" s="28"/>
    </row>
    <row r="233" ht="15.75" customHeight="1">
      <c r="B233" s="20"/>
      <c r="C233" s="65" t="s">
        <v>359</v>
      </c>
      <c r="D233" s="65">
        <v>105.0</v>
      </c>
      <c r="E233" s="71"/>
      <c r="F233" s="65">
        <v>60.0</v>
      </c>
      <c r="G233" s="68">
        <f t="shared" si="36"/>
        <v>6300</v>
      </c>
      <c r="H233" s="27"/>
      <c r="I233" s="28"/>
    </row>
    <row r="234" ht="15.75" customHeight="1">
      <c r="B234" s="23"/>
      <c r="C234" s="73" t="s">
        <v>154</v>
      </c>
      <c r="D234" s="73">
        <v>700.0</v>
      </c>
      <c r="E234" s="74"/>
      <c r="F234" s="73">
        <v>60.0</v>
      </c>
      <c r="G234" s="68">
        <f t="shared" si="36"/>
        <v>42000</v>
      </c>
      <c r="H234" s="30"/>
      <c r="I234" s="31"/>
    </row>
    <row r="235" ht="15.75" customHeight="1">
      <c r="B235" s="83"/>
      <c r="C235" s="83"/>
      <c r="D235" s="83"/>
      <c r="E235" s="83"/>
      <c r="F235" s="83"/>
      <c r="G235" s="83"/>
      <c r="H235" s="83"/>
      <c r="I235" s="83"/>
    </row>
    <row r="236" ht="15.75" customHeight="1">
      <c r="B236" s="84">
        <v>46190.0</v>
      </c>
      <c r="C236" s="66" t="s">
        <v>360</v>
      </c>
      <c r="D236" s="66">
        <v>370.0</v>
      </c>
      <c r="E236" s="152"/>
      <c r="F236" s="66">
        <v>44.0</v>
      </c>
      <c r="G236" s="68">
        <f t="shared" ref="G236:G238" si="37">F236*D236</f>
        <v>16280</v>
      </c>
      <c r="H236" s="69">
        <f>G236+G237+G238</f>
        <v>25940</v>
      </c>
      <c r="I236" s="70">
        <v>419.0</v>
      </c>
      <c r="J236" s="168" t="s">
        <v>362</v>
      </c>
    </row>
    <row r="237" ht="15.75" customHeight="1">
      <c r="B237" s="20"/>
      <c r="C237" s="65" t="s">
        <v>357</v>
      </c>
      <c r="D237" s="65">
        <v>56.0</v>
      </c>
      <c r="E237" s="71"/>
      <c r="F237" s="65">
        <v>60.0</v>
      </c>
      <c r="G237" s="68">
        <f t="shared" si="37"/>
        <v>3360</v>
      </c>
      <c r="H237" s="27"/>
      <c r="I237" s="28"/>
      <c r="J237" s="168" t="s">
        <v>364</v>
      </c>
    </row>
    <row r="238" ht="15.75" customHeight="1">
      <c r="B238" s="23"/>
      <c r="C238" s="73" t="s">
        <v>351</v>
      </c>
      <c r="D238" s="73">
        <v>105.0</v>
      </c>
      <c r="E238" s="74"/>
      <c r="F238" s="73">
        <v>60.0</v>
      </c>
      <c r="G238" s="68">
        <f t="shared" si="37"/>
        <v>6300</v>
      </c>
      <c r="H238" s="30"/>
      <c r="I238" s="31"/>
    </row>
    <row r="239" ht="15.75" customHeight="1">
      <c r="B239" s="83"/>
      <c r="C239" s="83"/>
      <c r="D239" s="83"/>
      <c r="E239" s="83"/>
      <c r="F239" s="83"/>
      <c r="G239" s="83"/>
      <c r="H239" s="83"/>
      <c r="I239" s="83"/>
    </row>
    <row r="240" ht="15.75" customHeight="1">
      <c r="B240" s="14">
        <v>46191.0</v>
      </c>
      <c r="C240" s="65" t="s">
        <v>365</v>
      </c>
      <c r="D240" s="15">
        <v>105.0</v>
      </c>
      <c r="E240" s="12"/>
      <c r="F240" s="15">
        <v>60.0</v>
      </c>
      <c r="G240" s="17">
        <f t="shared" ref="G240:G243" si="38">+F240*D240</f>
        <v>6300</v>
      </c>
      <c r="H240" s="18">
        <f>+G240+G241+G243+G242</f>
        <v>36300</v>
      </c>
      <c r="I240" s="21">
        <v>422.0</v>
      </c>
    </row>
    <row r="241" ht="15.75" customHeight="1">
      <c r="B241" s="20"/>
      <c r="C241" s="73" t="s">
        <v>351</v>
      </c>
      <c r="D241" s="40">
        <f>132+68</f>
        <v>200</v>
      </c>
      <c r="E241" s="22"/>
      <c r="F241" s="40">
        <v>60.0</v>
      </c>
      <c r="G241" s="26">
        <f t="shared" si="38"/>
        <v>12000</v>
      </c>
      <c r="H241" s="27"/>
      <c r="I241" s="28"/>
    </row>
    <row r="242" ht="15.75" customHeight="1">
      <c r="B242" s="20"/>
      <c r="C242" s="24" t="s">
        <v>366</v>
      </c>
      <c r="D242" s="45">
        <v>100.0</v>
      </c>
      <c r="E242" s="32"/>
      <c r="F242" s="45">
        <v>72.0</v>
      </c>
      <c r="G242" s="26">
        <f t="shared" si="38"/>
        <v>7200</v>
      </c>
      <c r="H242" s="27"/>
      <c r="I242" s="28"/>
    </row>
    <row r="243" ht="15.75" customHeight="1">
      <c r="B243" s="23"/>
      <c r="C243" s="24" t="s">
        <v>367</v>
      </c>
      <c r="D243" s="24">
        <v>150.0</v>
      </c>
      <c r="E243" s="25"/>
      <c r="F243" s="24">
        <v>72.0</v>
      </c>
      <c r="G243" s="29">
        <f t="shared" si="38"/>
        <v>10800</v>
      </c>
      <c r="H243" s="30"/>
      <c r="I243" s="31"/>
    </row>
    <row r="244" ht="15.75" customHeight="1"/>
    <row r="245" ht="15.75" customHeight="1">
      <c r="B245" s="14">
        <v>46194.0</v>
      </c>
      <c r="C245" s="65" t="s">
        <v>368</v>
      </c>
      <c r="D245" s="15">
        <v>105.0</v>
      </c>
      <c r="E245" s="12"/>
      <c r="F245" s="15">
        <v>60.0</v>
      </c>
      <c r="G245" s="17">
        <f t="shared" ref="G245:G248" si="39">+F245*D245</f>
        <v>6300</v>
      </c>
      <c r="H245" s="18">
        <f>+G245+G246+G248+G247</f>
        <v>18360</v>
      </c>
      <c r="I245" s="21">
        <v>423.0</v>
      </c>
    </row>
    <row r="246" ht="15.75" customHeight="1">
      <c r="B246" s="20"/>
      <c r="C246" s="73" t="s">
        <v>369</v>
      </c>
      <c r="D246" s="40">
        <v>12.0</v>
      </c>
      <c r="E246" s="22"/>
      <c r="F246" s="40">
        <v>60.0</v>
      </c>
      <c r="G246" s="26">
        <f t="shared" si="39"/>
        <v>720</v>
      </c>
      <c r="H246" s="27"/>
      <c r="I246" s="28"/>
    </row>
    <row r="247" ht="15.75" customHeight="1">
      <c r="B247" s="20"/>
      <c r="C247" s="65" t="s">
        <v>370</v>
      </c>
      <c r="D247" s="45">
        <v>105.0</v>
      </c>
      <c r="E247" s="32"/>
      <c r="F247" s="45">
        <v>60.0</v>
      </c>
      <c r="G247" s="26">
        <f t="shared" si="39"/>
        <v>6300</v>
      </c>
      <c r="H247" s="27"/>
      <c r="I247" s="28"/>
    </row>
    <row r="248" ht="15.75" customHeight="1">
      <c r="B248" s="23"/>
      <c r="C248" s="24" t="s">
        <v>367</v>
      </c>
      <c r="D248" s="24">
        <v>70.0</v>
      </c>
      <c r="E248" s="25"/>
      <c r="F248" s="24">
        <v>72.0</v>
      </c>
      <c r="G248" s="29">
        <f t="shared" si="39"/>
        <v>5040</v>
      </c>
      <c r="H248" s="30"/>
      <c r="I248" s="3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48">
    <mergeCell ref="B10:B15"/>
    <mergeCell ref="B17:B22"/>
    <mergeCell ref="B24:B30"/>
    <mergeCell ref="B32:B34"/>
    <mergeCell ref="B36:B37"/>
    <mergeCell ref="B39:B41"/>
    <mergeCell ref="B43:B47"/>
    <mergeCell ref="B49:B55"/>
    <mergeCell ref="B57:B62"/>
    <mergeCell ref="B64:B72"/>
    <mergeCell ref="B74:B76"/>
    <mergeCell ref="B78:B82"/>
    <mergeCell ref="B84:B86"/>
    <mergeCell ref="B88:B90"/>
    <mergeCell ref="B104:B106"/>
    <mergeCell ref="B108:B111"/>
    <mergeCell ref="B113:B117"/>
    <mergeCell ref="B119:B123"/>
    <mergeCell ref="B125:B133"/>
    <mergeCell ref="B135:B136"/>
    <mergeCell ref="B138:B144"/>
    <mergeCell ref="B146:B152"/>
    <mergeCell ref="B154:B155"/>
    <mergeCell ref="B157:B158"/>
    <mergeCell ref="B160:B161"/>
    <mergeCell ref="B163:B164"/>
    <mergeCell ref="B166:B167"/>
    <mergeCell ref="B171:B175"/>
    <mergeCell ref="B177:B178"/>
    <mergeCell ref="B184:B185"/>
    <mergeCell ref="B191:B192"/>
    <mergeCell ref="B196:B198"/>
    <mergeCell ref="B200:B204"/>
    <mergeCell ref="B206:B207"/>
    <mergeCell ref="B211:B212"/>
    <mergeCell ref="B240:B243"/>
    <mergeCell ref="B245:B248"/>
    <mergeCell ref="B214:B215"/>
    <mergeCell ref="B217:B218"/>
    <mergeCell ref="B220:B221"/>
    <mergeCell ref="B223:B224"/>
    <mergeCell ref="B226:B228"/>
    <mergeCell ref="B230:B234"/>
    <mergeCell ref="B236:B238"/>
    <mergeCell ref="B1:I1"/>
    <mergeCell ref="B3:B5"/>
    <mergeCell ref="H3:H5"/>
    <mergeCell ref="I3:I5"/>
    <mergeCell ref="B7:B8"/>
    <mergeCell ref="I7:I8"/>
    <mergeCell ref="I10:I15"/>
    <mergeCell ref="H7:H8"/>
    <mergeCell ref="H10:H15"/>
    <mergeCell ref="H17:H22"/>
    <mergeCell ref="I17:I22"/>
    <mergeCell ref="H24:H30"/>
    <mergeCell ref="I24:I30"/>
    <mergeCell ref="I32:I34"/>
    <mergeCell ref="H32:H34"/>
    <mergeCell ref="H36:H37"/>
    <mergeCell ref="H39:H41"/>
    <mergeCell ref="H43:H47"/>
    <mergeCell ref="H49:H55"/>
    <mergeCell ref="H57:H62"/>
    <mergeCell ref="H64:H72"/>
    <mergeCell ref="I36:I37"/>
    <mergeCell ref="I39:I41"/>
    <mergeCell ref="I43:I47"/>
    <mergeCell ref="I49:I55"/>
    <mergeCell ref="I57:I62"/>
    <mergeCell ref="I64:I72"/>
    <mergeCell ref="I74:I76"/>
    <mergeCell ref="B94:B98"/>
    <mergeCell ref="B100:B102"/>
    <mergeCell ref="H108:H111"/>
    <mergeCell ref="H113:H117"/>
    <mergeCell ref="H119:H123"/>
    <mergeCell ref="H74:H76"/>
    <mergeCell ref="H78:H82"/>
    <mergeCell ref="H84:H86"/>
    <mergeCell ref="H88:H90"/>
    <mergeCell ref="H94:H98"/>
    <mergeCell ref="H100:H102"/>
    <mergeCell ref="H104:H106"/>
    <mergeCell ref="H200:H204"/>
    <mergeCell ref="I200:I204"/>
    <mergeCell ref="H206:H207"/>
    <mergeCell ref="I206:I207"/>
    <mergeCell ref="H211:H212"/>
    <mergeCell ref="I211:I212"/>
    <mergeCell ref="I214:I215"/>
    <mergeCell ref="H230:H234"/>
    <mergeCell ref="I230:I234"/>
    <mergeCell ref="H236:H238"/>
    <mergeCell ref="I236:I238"/>
    <mergeCell ref="H240:H243"/>
    <mergeCell ref="I240:I243"/>
    <mergeCell ref="H245:H248"/>
    <mergeCell ref="I245:I248"/>
    <mergeCell ref="H214:H215"/>
    <mergeCell ref="H217:H218"/>
    <mergeCell ref="I217:I218"/>
    <mergeCell ref="H220:H221"/>
    <mergeCell ref="I220:I221"/>
    <mergeCell ref="H223:H224"/>
    <mergeCell ref="I223:I224"/>
    <mergeCell ref="I78:I82"/>
    <mergeCell ref="I84:I86"/>
    <mergeCell ref="I88:I90"/>
    <mergeCell ref="I94:I98"/>
    <mergeCell ref="I100:I102"/>
    <mergeCell ref="I104:I106"/>
    <mergeCell ref="I108:I111"/>
    <mergeCell ref="I113:I117"/>
    <mergeCell ref="I119:I123"/>
    <mergeCell ref="H125:H133"/>
    <mergeCell ref="I125:I133"/>
    <mergeCell ref="H135:H136"/>
    <mergeCell ref="I135:I136"/>
    <mergeCell ref="I138:I144"/>
    <mergeCell ref="H138:H144"/>
    <mergeCell ref="H146:H152"/>
    <mergeCell ref="I146:I152"/>
    <mergeCell ref="H154:H155"/>
    <mergeCell ref="I154:I155"/>
    <mergeCell ref="H157:H158"/>
    <mergeCell ref="I157:I158"/>
    <mergeCell ref="H171:H175"/>
    <mergeCell ref="H177:H178"/>
    <mergeCell ref="N179:O179"/>
    <mergeCell ref="N180:O180"/>
    <mergeCell ref="N181:O181"/>
    <mergeCell ref="H160:H161"/>
    <mergeCell ref="I160:I161"/>
    <mergeCell ref="H163:H164"/>
    <mergeCell ref="I163:I164"/>
    <mergeCell ref="H166:H167"/>
    <mergeCell ref="I166:I167"/>
    <mergeCell ref="I171:I175"/>
    <mergeCell ref="I177:I178"/>
    <mergeCell ref="H184:H185"/>
    <mergeCell ref="I184:I185"/>
    <mergeCell ref="H191:H192"/>
    <mergeCell ref="I191:I192"/>
    <mergeCell ref="H196:H198"/>
    <mergeCell ref="I196:I198"/>
    <mergeCell ref="H226:H228"/>
    <mergeCell ref="I226:I2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1.71"/>
    <col customWidth="1" min="3" max="3" width="26.86"/>
    <col customWidth="1" min="4" max="4" width="13.43"/>
    <col customWidth="1" min="5" max="5" width="10.71"/>
    <col customWidth="1" min="6" max="6" width="12.29"/>
    <col customWidth="1" min="7" max="8" width="10.71"/>
    <col customWidth="1" min="9" max="9" width="11.43"/>
    <col customWidth="1" min="10" max="26" width="10.71"/>
  </cols>
  <sheetData>
    <row r="1" ht="21.75" customHeight="1">
      <c r="B1" s="7" t="s">
        <v>2</v>
      </c>
      <c r="C1" s="2"/>
      <c r="D1" s="2"/>
      <c r="E1" s="2"/>
      <c r="F1" s="2"/>
      <c r="G1" s="2"/>
      <c r="H1" s="2"/>
      <c r="I1" s="3"/>
    </row>
    <row r="2">
      <c r="B2" s="4" t="s">
        <v>4</v>
      </c>
      <c r="C2" s="11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6" t="s">
        <v>11</v>
      </c>
    </row>
    <row r="3">
      <c r="B3" s="9">
        <v>46025.0</v>
      </c>
      <c r="C3" s="10" t="s">
        <v>14</v>
      </c>
      <c r="D3" s="10">
        <v>600.0</v>
      </c>
      <c r="E3" s="12"/>
      <c r="F3" s="10">
        <v>50.0</v>
      </c>
      <c r="G3" s="17">
        <f t="shared" ref="G3:G10" si="1">+F3*D3</f>
        <v>30000</v>
      </c>
      <c r="H3" s="18">
        <f>+G3+G4+G5</f>
        <v>50400</v>
      </c>
      <c r="I3" s="19">
        <v>167.0</v>
      </c>
    </row>
    <row r="4">
      <c r="B4" s="20"/>
      <c r="C4" s="8" t="s">
        <v>18</v>
      </c>
      <c r="D4" s="8">
        <v>180.0</v>
      </c>
      <c r="E4" s="22"/>
      <c r="F4" s="8">
        <v>60.0</v>
      </c>
      <c r="G4" s="26">
        <f t="shared" si="1"/>
        <v>10800</v>
      </c>
      <c r="H4" s="27"/>
      <c r="I4" s="28"/>
    </row>
    <row r="5">
      <c r="B5" s="23"/>
      <c r="C5" s="33" t="s">
        <v>21</v>
      </c>
      <c r="D5" s="33">
        <v>160.0</v>
      </c>
      <c r="E5" s="25"/>
      <c r="F5" s="33">
        <v>60.0</v>
      </c>
      <c r="G5" s="29">
        <f t="shared" si="1"/>
        <v>9600</v>
      </c>
      <c r="H5" s="30"/>
      <c r="I5" s="31"/>
    </row>
    <row r="6">
      <c r="B6" s="35"/>
      <c r="C6" s="36"/>
      <c r="D6" s="36"/>
      <c r="E6" s="37"/>
      <c r="F6" s="36"/>
      <c r="G6" s="38">
        <f t="shared" si="1"/>
        <v>0</v>
      </c>
      <c r="H6" s="38"/>
      <c r="I6" s="36"/>
    </row>
    <row r="7">
      <c r="B7" s="9">
        <v>46026.0</v>
      </c>
      <c r="C7" s="10" t="s">
        <v>14</v>
      </c>
      <c r="D7" s="10">
        <v>600.0</v>
      </c>
      <c r="E7" s="12"/>
      <c r="F7" s="10">
        <v>50.0</v>
      </c>
      <c r="G7" s="17">
        <f t="shared" si="1"/>
        <v>30000</v>
      </c>
      <c r="H7" s="18">
        <f>+G7+G8+G9+G10</f>
        <v>110000</v>
      </c>
      <c r="I7" s="19">
        <v>171.0</v>
      </c>
    </row>
    <row r="8">
      <c r="B8" s="20"/>
      <c r="C8" s="8" t="s">
        <v>26</v>
      </c>
      <c r="D8" s="8">
        <v>700.0</v>
      </c>
      <c r="E8" s="22"/>
      <c r="F8" s="10">
        <v>50.0</v>
      </c>
      <c r="G8" s="26">
        <f t="shared" si="1"/>
        <v>35000</v>
      </c>
      <c r="H8" s="27"/>
      <c r="I8" s="28"/>
    </row>
    <row r="9">
      <c r="B9" s="20"/>
      <c r="C9" s="33" t="s">
        <v>21</v>
      </c>
      <c r="D9" s="16">
        <v>300.0</v>
      </c>
      <c r="E9" s="32"/>
      <c r="F9" s="10">
        <v>50.0</v>
      </c>
      <c r="G9" s="26">
        <f t="shared" si="1"/>
        <v>15000</v>
      </c>
      <c r="H9" s="27"/>
      <c r="I9" s="28"/>
    </row>
    <row r="10">
      <c r="B10" s="23"/>
      <c r="C10" s="40" t="s">
        <v>28</v>
      </c>
      <c r="D10" s="33">
        <v>600.0</v>
      </c>
      <c r="E10" s="25"/>
      <c r="F10" s="10">
        <v>50.0</v>
      </c>
      <c r="G10" s="29">
        <f t="shared" si="1"/>
        <v>30000</v>
      </c>
      <c r="H10" s="30"/>
      <c r="I10" s="31"/>
    </row>
    <row r="11">
      <c r="B11" s="35"/>
      <c r="C11" s="36"/>
      <c r="D11" s="36"/>
      <c r="E11" s="37"/>
      <c r="F11" s="36"/>
      <c r="G11" s="38"/>
      <c r="H11" s="38"/>
      <c r="I11" s="36"/>
    </row>
    <row r="12">
      <c r="B12" s="14">
        <v>46028.0</v>
      </c>
      <c r="C12" s="10" t="s">
        <v>14</v>
      </c>
      <c r="D12" s="15">
        <v>900.0</v>
      </c>
      <c r="E12" s="12"/>
      <c r="F12" s="10">
        <v>50.0</v>
      </c>
      <c r="G12" s="17">
        <f t="shared" ref="G12:G15" si="2">+F12*D12</f>
        <v>45000</v>
      </c>
      <c r="H12" s="18">
        <f>+G12+G13+G14+G15</f>
        <v>90000</v>
      </c>
      <c r="I12" s="21">
        <v>174.0</v>
      </c>
    </row>
    <row r="13">
      <c r="B13" s="20"/>
      <c r="C13" s="8" t="s">
        <v>26</v>
      </c>
      <c r="D13" s="40">
        <v>100.0</v>
      </c>
      <c r="E13" s="22"/>
      <c r="F13" s="10">
        <v>50.0</v>
      </c>
      <c r="G13" s="26">
        <f t="shared" si="2"/>
        <v>5000</v>
      </c>
      <c r="H13" s="27"/>
      <c r="I13" s="28"/>
    </row>
    <row r="14">
      <c r="B14" s="20"/>
      <c r="C14" s="24" t="s">
        <v>38</v>
      </c>
      <c r="D14" s="45">
        <v>700.0</v>
      </c>
      <c r="E14" s="32"/>
      <c r="F14" s="10">
        <v>50.0</v>
      </c>
      <c r="G14" s="26">
        <f t="shared" si="2"/>
        <v>35000</v>
      </c>
      <c r="H14" s="27"/>
      <c r="I14" s="28"/>
    </row>
    <row r="15">
      <c r="B15" s="23"/>
      <c r="C15" s="40" t="s">
        <v>28</v>
      </c>
      <c r="D15" s="24">
        <v>100.0</v>
      </c>
      <c r="E15" s="25"/>
      <c r="F15" s="10">
        <v>50.0</v>
      </c>
      <c r="G15" s="29">
        <f t="shared" si="2"/>
        <v>5000</v>
      </c>
      <c r="H15" s="30"/>
      <c r="I15" s="31"/>
    </row>
    <row r="17">
      <c r="B17" s="14">
        <v>46030.0</v>
      </c>
      <c r="C17" s="10" t="s">
        <v>14</v>
      </c>
      <c r="D17" s="15">
        <v>1000.0</v>
      </c>
      <c r="E17" s="12"/>
      <c r="F17" s="10">
        <v>50.0</v>
      </c>
      <c r="G17" s="17">
        <f t="shared" ref="G17:G20" si="3">+F17*D17</f>
        <v>50000</v>
      </c>
      <c r="H17" s="18">
        <f>+G17+G18+G19+G20</f>
        <v>110000</v>
      </c>
      <c r="I17" s="21">
        <v>178.0</v>
      </c>
    </row>
    <row r="18">
      <c r="B18" s="20"/>
      <c r="C18" s="8" t="s">
        <v>26</v>
      </c>
      <c r="D18" s="40">
        <v>200.0</v>
      </c>
      <c r="E18" s="22"/>
      <c r="F18" s="10">
        <v>50.0</v>
      </c>
      <c r="G18" s="26">
        <f t="shared" si="3"/>
        <v>10000</v>
      </c>
      <c r="H18" s="27"/>
      <c r="I18" s="28"/>
    </row>
    <row r="19">
      <c r="B19" s="20"/>
      <c r="C19" s="24" t="s">
        <v>38</v>
      </c>
      <c r="D19" s="45">
        <v>700.0</v>
      </c>
      <c r="E19" s="32"/>
      <c r="F19" s="10">
        <v>50.0</v>
      </c>
      <c r="G19" s="26">
        <f t="shared" si="3"/>
        <v>35000</v>
      </c>
      <c r="H19" s="27"/>
      <c r="I19" s="28"/>
    </row>
    <row r="20">
      <c r="B20" s="23"/>
      <c r="C20" s="40" t="s">
        <v>32</v>
      </c>
      <c r="D20" s="24">
        <v>300.0</v>
      </c>
      <c r="E20" s="25"/>
      <c r="F20" s="10">
        <v>50.0</v>
      </c>
      <c r="G20" s="29">
        <f t="shared" si="3"/>
        <v>15000</v>
      </c>
      <c r="H20" s="30"/>
      <c r="I20" s="31"/>
    </row>
    <row r="21" ht="15.75" customHeight="1"/>
    <row r="22" ht="15.75" customHeight="1">
      <c r="B22" s="14">
        <v>46033.0</v>
      </c>
      <c r="C22" s="24" t="s">
        <v>38</v>
      </c>
      <c r="D22" s="15">
        <v>400.0</v>
      </c>
      <c r="E22" s="12"/>
      <c r="F22" s="10">
        <v>50.0</v>
      </c>
      <c r="G22" s="17">
        <f t="shared" ref="G22:G23" si="4">+F22*D22</f>
        <v>20000</v>
      </c>
      <c r="H22" s="18">
        <f>G22+G23</f>
        <v>70000</v>
      </c>
      <c r="I22" s="21">
        <v>184.0</v>
      </c>
    </row>
    <row r="23" ht="15.75" customHeight="1">
      <c r="B23" s="23"/>
      <c r="C23" s="40" t="s">
        <v>32</v>
      </c>
      <c r="D23" s="24">
        <v>1000.0</v>
      </c>
      <c r="E23" s="25"/>
      <c r="F23" s="10">
        <v>50.0</v>
      </c>
      <c r="G23" s="29">
        <f t="shared" si="4"/>
        <v>50000</v>
      </c>
      <c r="H23" s="30"/>
      <c r="I23" s="31"/>
    </row>
    <row r="24" ht="15.75" customHeight="1">
      <c r="I24" s="46"/>
    </row>
    <row r="25" ht="15.75" customHeight="1">
      <c r="B25" s="14">
        <v>46035.0</v>
      </c>
      <c r="C25" s="24" t="s">
        <v>38</v>
      </c>
      <c r="D25" s="15">
        <v>300.0</v>
      </c>
      <c r="E25" s="12"/>
      <c r="F25" s="10">
        <v>50.0</v>
      </c>
      <c r="G25" s="17">
        <f t="shared" ref="G25:G26" si="5">+F25*D25</f>
        <v>15000</v>
      </c>
      <c r="H25" s="18">
        <f>G25+G26</f>
        <v>45000</v>
      </c>
      <c r="I25" s="21">
        <v>186.0</v>
      </c>
    </row>
    <row r="26" ht="15.75" customHeight="1">
      <c r="B26" s="23"/>
      <c r="C26" s="40" t="s">
        <v>32</v>
      </c>
      <c r="D26" s="24">
        <v>600.0</v>
      </c>
      <c r="E26" s="25"/>
      <c r="F26" s="10">
        <v>50.0</v>
      </c>
      <c r="G26" s="29">
        <f t="shared" si="5"/>
        <v>30000</v>
      </c>
      <c r="H26" s="30"/>
      <c r="I26" s="31"/>
    </row>
    <row r="27" ht="15.75" customHeight="1">
      <c r="I27" s="46"/>
    </row>
    <row r="28" ht="15.75" customHeight="1">
      <c r="B28" s="14">
        <v>46040.0</v>
      </c>
      <c r="C28" s="24" t="s">
        <v>38</v>
      </c>
      <c r="D28" s="15">
        <v>300.0</v>
      </c>
      <c r="E28" s="12"/>
      <c r="F28" s="10">
        <v>50.0</v>
      </c>
      <c r="G28" s="17">
        <f t="shared" ref="G28:G29" si="6">+F28*D28</f>
        <v>15000</v>
      </c>
      <c r="H28" s="18">
        <f>G28+G29</f>
        <v>30000</v>
      </c>
      <c r="I28" s="21">
        <v>190.0</v>
      </c>
    </row>
    <row r="29" ht="15.75" customHeight="1">
      <c r="B29" s="23"/>
      <c r="C29" s="40" t="s">
        <v>32</v>
      </c>
      <c r="D29" s="24">
        <v>300.0</v>
      </c>
      <c r="E29" s="25"/>
      <c r="F29" s="10">
        <v>50.0</v>
      </c>
      <c r="G29" s="29">
        <f t="shared" si="6"/>
        <v>15000</v>
      </c>
      <c r="H29" s="30"/>
      <c r="I29" s="31"/>
    </row>
    <row r="30" ht="15.75" customHeight="1">
      <c r="I30" s="46"/>
    </row>
    <row r="31" ht="15.75" customHeight="1">
      <c r="B31" s="14">
        <v>46042.0</v>
      </c>
      <c r="C31" s="15" t="s">
        <v>56</v>
      </c>
      <c r="D31" s="15">
        <v>1300.0</v>
      </c>
      <c r="E31" s="12"/>
      <c r="F31" s="10">
        <v>50.0</v>
      </c>
      <c r="G31" s="17">
        <f t="shared" ref="G31:G34" si="7">+F31*D31</f>
        <v>65000</v>
      </c>
      <c r="H31" s="18">
        <f>+G31+G32+G33+G34</f>
        <v>110000</v>
      </c>
      <c r="I31" s="21">
        <v>197.0</v>
      </c>
    </row>
    <row r="32" ht="15.75" customHeight="1">
      <c r="B32" s="20"/>
      <c r="C32" s="8" t="s">
        <v>26</v>
      </c>
      <c r="D32" s="40">
        <v>300.0</v>
      </c>
      <c r="E32" s="22"/>
      <c r="F32" s="10">
        <v>50.0</v>
      </c>
      <c r="G32" s="26">
        <f t="shared" si="7"/>
        <v>15000</v>
      </c>
      <c r="H32" s="27"/>
      <c r="I32" s="28"/>
    </row>
    <row r="33" ht="15.75" customHeight="1">
      <c r="B33" s="20"/>
      <c r="C33" s="24" t="s">
        <v>38</v>
      </c>
      <c r="D33" s="45">
        <v>500.0</v>
      </c>
      <c r="E33" s="32"/>
      <c r="F33" s="10">
        <v>50.0</v>
      </c>
      <c r="G33" s="26">
        <f t="shared" si="7"/>
        <v>25000</v>
      </c>
      <c r="H33" s="27"/>
      <c r="I33" s="28"/>
    </row>
    <row r="34" ht="15.75" customHeight="1">
      <c r="B34" s="23"/>
      <c r="C34" s="40" t="s">
        <v>60</v>
      </c>
      <c r="D34" s="24">
        <v>100.0</v>
      </c>
      <c r="E34" s="25"/>
      <c r="F34" s="10">
        <v>50.0</v>
      </c>
      <c r="G34" s="29">
        <f t="shared" si="7"/>
        <v>5000</v>
      </c>
      <c r="H34" s="30"/>
      <c r="I34" s="31"/>
    </row>
    <row r="35" ht="15.75" customHeight="1">
      <c r="I35" s="46"/>
    </row>
    <row r="36" ht="15.75" customHeight="1">
      <c r="B36" s="14">
        <v>46043.0</v>
      </c>
      <c r="C36" s="15" t="s">
        <v>62</v>
      </c>
      <c r="D36" s="15">
        <v>100.0</v>
      </c>
      <c r="E36" s="12"/>
      <c r="F36" s="10">
        <v>50.0</v>
      </c>
      <c r="G36" s="17">
        <f t="shared" ref="G36:G41" si="8">+F36*D36</f>
        <v>5000</v>
      </c>
      <c r="H36" s="18">
        <f>+G36+G37+G38+G41+G39+G40</f>
        <v>50000</v>
      </c>
      <c r="I36" s="21">
        <v>199.0</v>
      </c>
    </row>
    <row r="37" ht="15.75" customHeight="1">
      <c r="B37" s="20"/>
      <c r="C37" s="40" t="s">
        <v>66</v>
      </c>
      <c r="D37" s="40">
        <v>100.0</v>
      </c>
      <c r="E37" s="22"/>
      <c r="F37" s="10">
        <v>50.0</v>
      </c>
      <c r="G37" s="26">
        <f t="shared" si="8"/>
        <v>5000</v>
      </c>
      <c r="H37" s="27"/>
      <c r="I37" s="28"/>
    </row>
    <row r="38" ht="15.75" customHeight="1">
      <c r="B38" s="20"/>
      <c r="C38" s="24" t="s">
        <v>38</v>
      </c>
      <c r="D38" s="45">
        <v>200.0</v>
      </c>
      <c r="E38" s="32"/>
      <c r="F38" s="10">
        <v>50.0</v>
      </c>
      <c r="G38" s="26">
        <f t="shared" si="8"/>
        <v>10000</v>
      </c>
      <c r="H38" s="27"/>
      <c r="I38" s="28"/>
    </row>
    <row r="39" ht="15.75" customHeight="1">
      <c r="B39" s="20"/>
      <c r="C39" s="15" t="s">
        <v>69</v>
      </c>
      <c r="D39" s="45">
        <v>200.0</v>
      </c>
      <c r="E39" s="32"/>
      <c r="F39" s="15">
        <v>50.0</v>
      </c>
      <c r="G39" s="26">
        <f t="shared" si="8"/>
        <v>10000</v>
      </c>
      <c r="H39" s="27"/>
      <c r="I39" s="28"/>
    </row>
    <row r="40" ht="15.75" customHeight="1">
      <c r="B40" s="20"/>
      <c r="C40" s="45" t="s">
        <v>70</v>
      </c>
      <c r="D40" s="45">
        <v>100.0</v>
      </c>
      <c r="E40" s="32"/>
      <c r="F40" s="15">
        <v>50.0</v>
      </c>
      <c r="G40" s="26">
        <f t="shared" si="8"/>
        <v>5000</v>
      </c>
      <c r="H40" s="27"/>
      <c r="I40" s="28"/>
    </row>
    <row r="41" ht="15.75" customHeight="1">
      <c r="B41" s="23"/>
      <c r="C41" s="40" t="s">
        <v>32</v>
      </c>
      <c r="D41" s="24">
        <v>300.0</v>
      </c>
      <c r="E41" s="25"/>
      <c r="F41" s="10">
        <v>50.0</v>
      </c>
      <c r="G41" s="29">
        <f t="shared" si="8"/>
        <v>15000</v>
      </c>
      <c r="H41" s="30"/>
      <c r="I41" s="31"/>
    </row>
    <row r="42" ht="15.75" customHeight="1">
      <c r="B42" s="49"/>
      <c r="C42" s="50"/>
      <c r="D42" s="50"/>
      <c r="E42" s="37"/>
      <c r="F42" s="36"/>
      <c r="G42" s="38"/>
      <c r="H42" s="38"/>
      <c r="I42" s="50"/>
    </row>
    <row r="43" ht="15.75" customHeight="1">
      <c r="B43" s="14">
        <v>46044.0</v>
      </c>
      <c r="C43" s="40" t="s">
        <v>32</v>
      </c>
      <c r="D43" s="15">
        <v>400.0</v>
      </c>
      <c r="E43" s="12"/>
      <c r="F43" s="10">
        <v>50.0</v>
      </c>
      <c r="G43" s="17">
        <f t="shared" ref="G43:G46" si="9">+F43*D43</f>
        <v>20000</v>
      </c>
      <c r="H43" s="18">
        <f>+G43+G44+G45+G46</f>
        <v>65000</v>
      </c>
      <c r="I43" s="21">
        <v>202.0</v>
      </c>
    </row>
    <row r="44" ht="15.75" customHeight="1">
      <c r="B44" s="20"/>
      <c r="C44" s="40" t="s">
        <v>77</v>
      </c>
      <c r="D44" s="40">
        <v>100.0</v>
      </c>
      <c r="E44" s="22"/>
      <c r="F44" s="10">
        <v>50.0</v>
      </c>
      <c r="G44" s="26">
        <f t="shared" si="9"/>
        <v>5000</v>
      </c>
      <c r="H44" s="27"/>
      <c r="I44" s="28"/>
    </row>
    <row r="45" ht="15.75" customHeight="1">
      <c r="B45" s="20"/>
      <c r="C45" s="24" t="s">
        <v>38</v>
      </c>
      <c r="D45" s="45">
        <v>500.0</v>
      </c>
      <c r="E45" s="32"/>
      <c r="F45" s="10">
        <v>50.0</v>
      </c>
      <c r="G45" s="26">
        <f t="shared" si="9"/>
        <v>25000</v>
      </c>
      <c r="H45" s="27"/>
      <c r="I45" s="28"/>
    </row>
    <row r="46" ht="15.75" customHeight="1">
      <c r="B46" s="23"/>
      <c r="C46" s="15" t="s">
        <v>69</v>
      </c>
      <c r="D46" s="24">
        <v>300.0</v>
      </c>
      <c r="E46" s="25"/>
      <c r="F46" s="10">
        <v>50.0</v>
      </c>
      <c r="G46" s="29">
        <f t="shared" si="9"/>
        <v>15000</v>
      </c>
      <c r="H46" s="30"/>
      <c r="I46" s="31"/>
    </row>
    <row r="47" ht="15.75" customHeight="1">
      <c r="I47" s="46"/>
    </row>
    <row r="48" ht="15.75" customHeight="1">
      <c r="B48" s="14">
        <v>46048.0</v>
      </c>
      <c r="C48" s="40" t="s">
        <v>32</v>
      </c>
      <c r="D48" s="15">
        <v>200.0</v>
      </c>
      <c r="E48" s="12"/>
      <c r="F48" s="10">
        <v>50.0</v>
      </c>
      <c r="G48" s="17">
        <f t="shared" ref="G48:G52" si="10">+F48*D48</f>
        <v>10000</v>
      </c>
      <c r="H48" s="18">
        <f>+G48+G50+G51+G52+G49</f>
        <v>105000</v>
      </c>
      <c r="I48" s="21">
        <v>206.0</v>
      </c>
    </row>
    <row r="49" ht="15.75" customHeight="1">
      <c r="B49" s="20"/>
      <c r="C49" s="15" t="s">
        <v>69</v>
      </c>
      <c r="D49" s="47">
        <v>500.0</v>
      </c>
      <c r="E49" s="48"/>
      <c r="F49" s="15">
        <v>50.0</v>
      </c>
      <c r="G49" s="17">
        <f t="shared" si="10"/>
        <v>25000</v>
      </c>
      <c r="H49" s="27"/>
      <c r="I49" s="28"/>
    </row>
    <row r="50" ht="15.75" customHeight="1">
      <c r="B50" s="20"/>
      <c r="C50" s="40" t="s">
        <v>77</v>
      </c>
      <c r="D50" s="40">
        <v>500.0</v>
      </c>
      <c r="E50" s="22"/>
      <c r="F50" s="10">
        <v>50.0</v>
      </c>
      <c r="G50" s="26">
        <f t="shared" si="10"/>
        <v>25000</v>
      </c>
      <c r="H50" s="27"/>
      <c r="I50" s="28"/>
    </row>
    <row r="51" ht="15.75" customHeight="1">
      <c r="B51" s="20"/>
      <c r="C51" s="24" t="s">
        <v>87</v>
      </c>
      <c r="D51" s="40">
        <v>200.0</v>
      </c>
      <c r="E51" s="32"/>
      <c r="F51" s="10">
        <v>50.0</v>
      </c>
      <c r="G51" s="26">
        <f t="shared" si="10"/>
        <v>10000</v>
      </c>
      <c r="H51" s="27"/>
      <c r="I51" s="28"/>
    </row>
    <row r="52" ht="15.75" customHeight="1">
      <c r="B52" s="23"/>
      <c r="C52" s="24" t="s">
        <v>38</v>
      </c>
      <c r="D52" s="24">
        <v>700.0</v>
      </c>
      <c r="E52" s="25"/>
      <c r="F52" s="10">
        <v>50.0</v>
      </c>
      <c r="G52" s="29">
        <f t="shared" si="10"/>
        <v>35000</v>
      </c>
      <c r="H52" s="30"/>
      <c r="I52" s="31"/>
    </row>
    <row r="53" ht="15.75" customHeight="1"/>
    <row r="54" ht="15.75" customHeight="1">
      <c r="B54" s="14">
        <v>46049.0</v>
      </c>
      <c r="C54" s="40" t="s">
        <v>32</v>
      </c>
      <c r="D54" s="15">
        <v>400.0</v>
      </c>
      <c r="E54" s="12"/>
      <c r="F54" s="10">
        <v>50.0</v>
      </c>
      <c r="G54" s="17">
        <f t="shared" ref="G54:G57" si="11">+F54*D54</f>
        <v>20000</v>
      </c>
      <c r="H54" s="18">
        <f>+G54+G55+G56+G57</f>
        <v>50000</v>
      </c>
      <c r="I54" s="21">
        <v>211.0</v>
      </c>
    </row>
    <row r="55" ht="15.75" customHeight="1">
      <c r="B55" s="20"/>
      <c r="C55" s="40" t="s">
        <v>77</v>
      </c>
      <c r="D55" s="40">
        <v>200.0</v>
      </c>
      <c r="E55" s="22"/>
      <c r="F55" s="10">
        <v>50.0</v>
      </c>
      <c r="G55" s="26">
        <f t="shared" si="11"/>
        <v>10000</v>
      </c>
      <c r="H55" s="27"/>
      <c r="I55" s="28"/>
    </row>
    <row r="56" ht="15.75" customHeight="1">
      <c r="B56" s="20"/>
      <c r="C56" s="24" t="s">
        <v>87</v>
      </c>
      <c r="D56" s="45">
        <v>100.0</v>
      </c>
      <c r="E56" s="32"/>
      <c r="F56" s="10">
        <v>50.0</v>
      </c>
      <c r="G56" s="26">
        <f t="shared" si="11"/>
        <v>5000</v>
      </c>
      <c r="H56" s="27"/>
      <c r="I56" s="28"/>
    </row>
    <row r="57" ht="15.75" customHeight="1">
      <c r="B57" s="23"/>
      <c r="C57" s="15" t="s">
        <v>69</v>
      </c>
      <c r="D57" s="24">
        <v>300.0</v>
      </c>
      <c r="E57" s="25"/>
      <c r="F57" s="10">
        <v>50.0</v>
      </c>
      <c r="G57" s="29">
        <f t="shared" si="11"/>
        <v>15000</v>
      </c>
      <c r="H57" s="30"/>
      <c r="I57" s="31"/>
    </row>
    <row r="58" ht="15.75" customHeight="1">
      <c r="I58" s="46"/>
    </row>
    <row r="59" ht="15.75" customHeight="1">
      <c r="B59" s="14">
        <v>46050.0</v>
      </c>
      <c r="C59" s="40" t="s">
        <v>32</v>
      </c>
      <c r="D59" s="15">
        <v>200.0</v>
      </c>
      <c r="E59" s="12"/>
      <c r="F59" s="10">
        <v>50.0</v>
      </c>
      <c r="G59" s="17">
        <f t="shared" ref="G59:G63" si="12">+F59*D59</f>
        <v>10000</v>
      </c>
      <c r="H59" s="18">
        <f>+G59+G61+G62+G63+G60</f>
        <v>55000</v>
      </c>
      <c r="I59" s="21">
        <v>214.0</v>
      </c>
    </row>
    <row r="60" ht="15.75" customHeight="1">
      <c r="B60" s="20"/>
      <c r="C60" s="40" t="s">
        <v>101</v>
      </c>
      <c r="D60" s="47">
        <v>300.0</v>
      </c>
      <c r="E60" s="48"/>
      <c r="F60" s="15">
        <v>50.0</v>
      </c>
      <c r="G60" s="17">
        <f t="shared" si="12"/>
        <v>15000</v>
      </c>
      <c r="H60" s="27"/>
      <c r="I60" s="28"/>
    </row>
    <row r="61" ht="15.75" customHeight="1">
      <c r="B61" s="20"/>
      <c r="C61" s="40" t="s">
        <v>77</v>
      </c>
      <c r="D61" s="40">
        <v>200.0</v>
      </c>
      <c r="E61" s="22"/>
      <c r="F61" s="10">
        <v>50.0</v>
      </c>
      <c r="G61" s="26">
        <f t="shared" si="12"/>
        <v>10000</v>
      </c>
      <c r="H61" s="27"/>
      <c r="I61" s="28"/>
    </row>
    <row r="62" ht="15.75" customHeight="1">
      <c r="B62" s="20"/>
      <c r="C62" s="24" t="s">
        <v>87</v>
      </c>
      <c r="D62" s="40">
        <v>200.0</v>
      </c>
      <c r="E62" s="32"/>
      <c r="F62" s="10">
        <v>50.0</v>
      </c>
      <c r="G62" s="26">
        <f t="shared" si="12"/>
        <v>10000</v>
      </c>
      <c r="H62" s="27"/>
      <c r="I62" s="28"/>
    </row>
    <row r="63" ht="15.75" customHeight="1">
      <c r="B63" s="23"/>
      <c r="C63" s="15" t="s">
        <v>69</v>
      </c>
      <c r="D63" s="24">
        <v>200.0</v>
      </c>
      <c r="E63" s="25"/>
      <c r="F63" s="10">
        <v>50.0</v>
      </c>
      <c r="G63" s="29">
        <f t="shared" si="12"/>
        <v>10000</v>
      </c>
      <c r="H63" s="30"/>
      <c r="I63" s="31"/>
    </row>
    <row r="64" ht="15.75" customHeight="1">
      <c r="I64" s="46"/>
    </row>
    <row r="65" ht="15.75" customHeight="1">
      <c r="B65" s="14">
        <v>46054.0</v>
      </c>
      <c r="C65" s="40" t="s">
        <v>32</v>
      </c>
      <c r="D65" s="15">
        <v>100.0</v>
      </c>
      <c r="E65" s="12"/>
      <c r="F65" s="10">
        <v>50.0</v>
      </c>
      <c r="G65" s="17">
        <f t="shared" ref="G65:G69" si="13">+F65*D65</f>
        <v>5000</v>
      </c>
      <c r="H65" s="18">
        <f>+G65+G67+G68+G69+G66</f>
        <v>85000</v>
      </c>
      <c r="I65" s="21">
        <v>217.0</v>
      </c>
    </row>
    <row r="66" ht="15.75" customHeight="1">
      <c r="B66" s="20"/>
      <c r="C66" s="40" t="s">
        <v>101</v>
      </c>
      <c r="D66" s="47">
        <v>400.0</v>
      </c>
      <c r="E66" s="48"/>
      <c r="F66" s="15">
        <v>50.0</v>
      </c>
      <c r="G66" s="17">
        <f t="shared" si="13"/>
        <v>20000</v>
      </c>
      <c r="H66" s="27"/>
      <c r="I66" s="28"/>
    </row>
    <row r="67" ht="15.75" customHeight="1">
      <c r="B67" s="20"/>
      <c r="C67" s="40" t="s">
        <v>77</v>
      </c>
      <c r="D67" s="40">
        <v>500.0</v>
      </c>
      <c r="E67" s="22"/>
      <c r="F67" s="10">
        <v>50.0</v>
      </c>
      <c r="G67" s="26">
        <f t="shared" si="13"/>
        <v>25000</v>
      </c>
      <c r="H67" s="27"/>
      <c r="I67" s="28"/>
    </row>
    <row r="68" ht="15.75" customHeight="1">
      <c r="B68" s="20"/>
      <c r="C68" s="24" t="s">
        <v>87</v>
      </c>
      <c r="D68" s="40">
        <v>400.0</v>
      </c>
      <c r="E68" s="32"/>
      <c r="F68" s="10">
        <v>50.0</v>
      </c>
      <c r="G68" s="26">
        <f t="shared" si="13"/>
        <v>20000</v>
      </c>
      <c r="H68" s="27"/>
      <c r="I68" s="28"/>
    </row>
    <row r="69" ht="15.75" customHeight="1">
      <c r="B69" s="23"/>
      <c r="C69" s="15" t="s">
        <v>111</v>
      </c>
      <c r="D69" s="24">
        <v>300.0</v>
      </c>
      <c r="E69" s="25"/>
      <c r="F69" s="10">
        <v>50.0</v>
      </c>
      <c r="G69" s="29">
        <f t="shared" si="13"/>
        <v>15000</v>
      </c>
      <c r="H69" s="30"/>
      <c r="I69" s="31"/>
    </row>
    <row r="70" ht="15.75" customHeight="1">
      <c r="I70" s="46"/>
    </row>
    <row r="71" ht="15.75" customHeight="1">
      <c r="B71" s="14">
        <v>46056.0</v>
      </c>
      <c r="C71" s="40" t="s">
        <v>32</v>
      </c>
      <c r="D71" s="15">
        <v>300.0</v>
      </c>
      <c r="E71" s="12"/>
      <c r="F71" s="10">
        <v>50.0</v>
      </c>
      <c r="G71" s="17">
        <f t="shared" ref="G71:G74" si="14">+F71*D71</f>
        <v>15000</v>
      </c>
      <c r="H71" s="18">
        <f>+G71+G73+G74+G72</f>
        <v>55000</v>
      </c>
      <c r="I71" s="21">
        <v>220.0</v>
      </c>
    </row>
    <row r="72" ht="15.75" customHeight="1">
      <c r="B72" s="20"/>
      <c r="C72" s="40" t="s">
        <v>101</v>
      </c>
      <c r="D72" s="47">
        <v>300.0</v>
      </c>
      <c r="E72" s="48"/>
      <c r="F72" s="15">
        <v>50.0</v>
      </c>
      <c r="G72" s="17">
        <f t="shared" si="14"/>
        <v>15000</v>
      </c>
      <c r="H72" s="27"/>
      <c r="I72" s="28"/>
    </row>
    <row r="73" ht="15.75" customHeight="1">
      <c r="B73" s="20"/>
      <c r="C73" s="40" t="s">
        <v>77</v>
      </c>
      <c r="D73" s="40">
        <v>300.0</v>
      </c>
      <c r="E73" s="22"/>
      <c r="F73" s="10">
        <v>50.0</v>
      </c>
      <c r="G73" s="26">
        <f t="shared" si="14"/>
        <v>15000</v>
      </c>
      <c r="H73" s="27"/>
      <c r="I73" s="28"/>
    </row>
    <row r="74" ht="15.75" customHeight="1">
      <c r="B74" s="23"/>
      <c r="C74" s="15" t="s">
        <v>111</v>
      </c>
      <c r="D74" s="24">
        <v>200.0</v>
      </c>
      <c r="E74" s="25"/>
      <c r="F74" s="10">
        <v>50.0</v>
      </c>
      <c r="G74" s="29">
        <f t="shared" si="14"/>
        <v>10000</v>
      </c>
      <c r="H74" s="30"/>
      <c r="I74" s="31"/>
    </row>
    <row r="75" ht="15.75" customHeight="1">
      <c r="I75" s="46"/>
    </row>
    <row r="76" ht="15.75" customHeight="1">
      <c r="B76" s="14">
        <v>46057.0</v>
      </c>
      <c r="C76" s="40" t="s">
        <v>32</v>
      </c>
      <c r="D76" s="15">
        <v>200.0</v>
      </c>
      <c r="E76" s="12"/>
      <c r="F76" s="10">
        <v>50.0</v>
      </c>
      <c r="G76" s="17">
        <f t="shared" ref="G76:G79" si="15">+F76*D76</f>
        <v>10000</v>
      </c>
      <c r="H76" s="18">
        <f>+G76+G78+G79+G77</f>
        <v>65000</v>
      </c>
      <c r="I76" s="21">
        <v>220.0</v>
      </c>
    </row>
    <row r="77" ht="15.75" customHeight="1">
      <c r="B77" s="20"/>
      <c r="C77" s="40" t="s">
        <v>101</v>
      </c>
      <c r="D77" s="47">
        <v>400.0</v>
      </c>
      <c r="E77" s="48"/>
      <c r="F77" s="15">
        <v>50.0</v>
      </c>
      <c r="G77" s="17">
        <f t="shared" si="15"/>
        <v>20000</v>
      </c>
      <c r="H77" s="27"/>
      <c r="I77" s="28"/>
    </row>
    <row r="78" ht="15.75" customHeight="1">
      <c r="B78" s="20"/>
      <c r="C78" s="40" t="s">
        <v>77</v>
      </c>
      <c r="D78" s="40">
        <v>200.0</v>
      </c>
      <c r="E78" s="22"/>
      <c r="F78" s="10">
        <v>50.0</v>
      </c>
      <c r="G78" s="26">
        <f t="shared" si="15"/>
        <v>10000</v>
      </c>
      <c r="H78" s="27"/>
      <c r="I78" s="28"/>
    </row>
    <row r="79" ht="15.75" customHeight="1">
      <c r="B79" s="23"/>
      <c r="C79" s="15" t="s">
        <v>111</v>
      </c>
      <c r="D79" s="24">
        <v>500.0</v>
      </c>
      <c r="E79" s="25"/>
      <c r="F79" s="10">
        <v>50.0</v>
      </c>
      <c r="G79" s="29">
        <f t="shared" si="15"/>
        <v>25000</v>
      </c>
      <c r="H79" s="30"/>
      <c r="I79" s="31"/>
    </row>
    <row r="80" ht="15.75" customHeight="1">
      <c r="I80" s="46"/>
    </row>
    <row r="81" ht="15.75" customHeight="1">
      <c r="B81" s="14">
        <v>46058.0</v>
      </c>
      <c r="C81" s="40" t="s">
        <v>32</v>
      </c>
      <c r="D81" s="15">
        <v>300.0</v>
      </c>
      <c r="E81" s="12"/>
      <c r="F81" s="10">
        <v>50.0</v>
      </c>
      <c r="G81" s="17">
        <f t="shared" ref="G81:G85" si="16">+F81*D81</f>
        <v>15000</v>
      </c>
      <c r="H81" s="18">
        <f>+G81+G83+G85+G82+G84</f>
        <v>60000</v>
      </c>
      <c r="I81" s="21">
        <v>229.0</v>
      </c>
    </row>
    <row r="82" ht="15.75" customHeight="1">
      <c r="B82" s="20"/>
      <c r="C82" s="40" t="s">
        <v>101</v>
      </c>
      <c r="D82" s="47">
        <v>200.0</v>
      </c>
      <c r="E82" s="48"/>
      <c r="F82" s="15">
        <v>50.0</v>
      </c>
      <c r="G82" s="17">
        <f t="shared" si="16"/>
        <v>10000</v>
      </c>
      <c r="H82" s="27"/>
      <c r="I82" s="28"/>
    </row>
    <row r="83" ht="15.75" customHeight="1">
      <c r="B83" s="20"/>
      <c r="C83" s="40" t="s">
        <v>77</v>
      </c>
      <c r="D83" s="40">
        <v>100.0</v>
      </c>
      <c r="E83" s="22"/>
      <c r="F83" s="10">
        <v>50.0</v>
      </c>
      <c r="G83" s="26">
        <f t="shared" si="16"/>
        <v>5000</v>
      </c>
      <c r="H83" s="27"/>
      <c r="I83" s="28"/>
    </row>
    <row r="84" ht="15.75" customHeight="1">
      <c r="B84" s="20"/>
      <c r="C84" s="24" t="s">
        <v>28</v>
      </c>
      <c r="D84" s="45">
        <v>300.0</v>
      </c>
      <c r="E84" s="32"/>
      <c r="F84" s="15">
        <v>50.0</v>
      </c>
      <c r="G84" s="26">
        <f t="shared" si="16"/>
        <v>15000</v>
      </c>
      <c r="H84" s="27"/>
      <c r="I84" s="28"/>
    </row>
    <row r="85" ht="15.75" customHeight="1">
      <c r="B85" s="23"/>
      <c r="C85" s="15" t="s">
        <v>111</v>
      </c>
      <c r="D85" s="24">
        <v>300.0</v>
      </c>
      <c r="E85" s="25"/>
      <c r="F85" s="10">
        <v>50.0</v>
      </c>
      <c r="G85" s="29">
        <f t="shared" si="16"/>
        <v>15000</v>
      </c>
      <c r="H85" s="30"/>
      <c r="I85" s="31"/>
    </row>
    <row r="86" ht="15.75" customHeight="1">
      <c r="I86" s="46"/>
    </row>
    <row r="87" ht="15.75" customHeight="1">
      <c r="B87" s="14">
        <v>46061.0</v>
      </c>
      <c r="C87" s="40" t="s">
        <v>32</v>
      </c>
      <c r="D87" s="15">
        <v>500.0</v>
      </c>
      <c r="E87" s="12"/>
      <c r="F87" s="10">
        <v>50.0</v>
      </c>
      <c r="G87" s="17">
        <f t="shared" ref="G87:G90" si="17">+F87*D87</f>
        <v>25000</v>
      </c>
      <c r="H87" s="18">
        <f>+G87+G90+G88+G89</f>
        <v>85000</v>
      </c>
      <c r="I87" s="21">
        <v>233.0</v>
      </c>
    </row>
    <row r="88" ht="15.75" customHeight="1">
      <c r="B88" s="20"/>
      <c r="C88" s="40" t="s">
        <v>101</v>
      </c>
      <c r="D88" s="47">
        <v>500.0</v>
      </c>
      <c r="E88" s="48"/>
      <c r="F88" s="15">
        <v>50.0</v>
      </c>
      <c r="G88" s="17">
        <f t="shared" si="17"/>
        <v>25000</v>
      </c>
      <c r="H88" s="27"/>
      <c r="I88" s="28"/>
    </row>
    <row r="89" ht="15.75" customHeight="1">
      <c r="B89" s="20"/>
      <c r="C89" s="24" t="s">
        <v>28</v>
      </c>
      <c r="D89" s="45">
        <v>100.0</v>
      </c>
      <c r="E89" s="32"/>
      <c r="F89" s="15">
        <v>50.0</v>
      </c>
      <c r="G89" s="26">
        <f t="shared" si="17"/>
        <v>5000</v>
      </c>
      <c r="H89" s="27"/>
      <c r="I89" s="28"/>
    </row>
    <row r="90" ht="15.75" customHeight="1">
      <c r="B90" s="23"/>
      <c r="C90" s="15" t="s">
        <v>111</v>
      </c>
      <c r="D90" s="24">
        <v>600.0</v>
      </c>
      <c r="E90" s="25"/>
      <c r="F90" s="10">
        <v>50.0</v>
      </c>
      <c r="G90" s="29">
        <f t="shared" si="17"/>
        <v>30000</v>
      </c>
      <c r="H90" s="30"/>
      <c r="I90" s="31"/>
    </row>
    <row r="91" ht="15.75" customHeight="1">
      <c r="I91" s="46"/>
    </row>
    <row r="92" ht="15.75" customHeight="1">
      <c r="B92" s="14">
        <v>46064.0</v>
      </c>
      <c r="C92" s="40" t="s">
        <v>32</v>
      </c>
      <c r="D92" s="15">
        <v>1100.0</v>
      </c>
      <c r="E92" s="12"/>
      <c r="F92" s="10">
        <v>50.0</v>
      </c>
      <c r="G92" s="17">
        <f t="shared" ref="G92:G97" si="18">+F92*D92</f>
        <v>55000</v>
      </c>
      <c r="H92" s="18">
        <f>+G92+G97+G93+G94+G93+G96+G95</f>
        <v>136500</v>
      </c>
      <c r="I92" s="21">
        <v>238.0</v>
      </c>
    </row>
    <row r="93" ht="15.75" customHeight="1">
      <c r="B93" s="20"/>
      <c r="C93" s="40" t="s">
        <v>101</v>
      </c>
      <c r="D93" s="47">
        <v>75.0</v>
      </c>
      <c r="E93" s="48"/>
      <c r="F93" s="15">
        <v>50.0</v>
      </c>
      <c r="G93" s="17">
        <f t="shared" si="18"/>
        <v>3750</v>
      </c>
      <c r="H93" s="27"/>
      <c r="I93" s="28"/>
    </row>
    <row r="94" ht="15.75" customHeight="1">
      <c r="B94" s="20"/>
      <c r="C94" s="24" t="s">
        <v>28</v>
      </c>
      <c r="D94" s="45">
        <v>700.0</v>
      </c>
      <c r="E94" s="32"/>
      <c r="F94" s="15">
        <v>50.0</v>
      </c>
      <c r="G94" s="26">
        <f t="shared" si="18"/>
        <v>35000</v>
      </c>
      <c r="H94" s="27"/>
      <c r="I94" s="28"/>
    </row>
    <row r="95" ht="15.75" customHeight="1">
      <c r="B95" s="20"/>
      <c r="C95" s="40" t="s">
        <v>160</v>
      </c>
      <c r="D95" s="45">
        <v>200.0</v>
      </c>
      <c r="E95" s="32"/>
      <c r="F95" s="15">
        <v>50.0</v>
      </c>
      <c r="G95" s="26">
        <f t="shared" si="18"/>
        <v>10000</v>
      </c>
      <c r="H95" s="27"/>
      <c r="I95" s="28"/>
    </row>
    <row r="96" ht="15.75" customHeight="1">
      <c r="B96" s="20"/>
      <c r="C96" s="40" t="s">
        <v>77</v>
      </c>
      <c r="D96" s="45">
        <v>100.0</v>
      </c>
      <c r="E96" s="32"/>
      <c r="F96" s="15">
        <v>50.0</v>
      </c>
      <c r="G96" s="26">
        <f t="shared" si="18"/>
        <v>5000</v>
      </c>
      <c r="H96" s="27"/>
      <c r="I96" s="28"/>
    </row>
    <row r="97" ht="15.75" customHeight="1">
      <c r="B97" s="23"/>
      <c r="C97" s="15" t="s">
        <v>111</v>
      </c>
      <c r="D97" s="24">
        <v>480.0</v>
      </c>
      <c r="E97" s="25"/>
      <c r="F97" s="10">
        <v>50.0</v>
      </c>
      <c r="G97" s="29">
        <f t="shared" si="18"/>
        <v>24000</v>
      </c>
      <c r="H97" s="30"/>
      <c r="I97" s="31"/>
    </row>
    <row r="98" ht="15.75" customHeight="1">
      <c r="I98" s="46"/>
    </row>
    <row r="99" ht="15.75" customHeight="1">
      <c r="B99" s="14">
        <v>46068.0</v>
      </c>
      <c r="C99" s="40" t="s">
        <v>32</v>
      </c>
      <c r="D99" s="15">
        <v>300.0</v>
      </c>
      <c r="E99" s="12"/>
      <c r="F99" s="10">
        <v>50.0</v>
      </c>
      <c r="G99" s="17">
        <f t="shared" ref="G99:G101" si="19">+F99*D99</f>
        <v>15000</v>
      </c>
      <c r="H99" s="18">
        <f>+G99+G101+G100</f>
        <v>80000</v>
      </c>
      <c r="I99" s="21">
        <v>243.0</v>
      </c>
    </row>
    <row r="100" ht="15.75" customHeight="1">
      <c r="B100" s="20"/>
      <c r="C100" s="24" t="s">
        <v>28</v>
      </c>
      <c r="D100" s="45">
        <v>700.0</v>
      </c>
      <c r="E100" s="32"/>
      <c r="F100" s="15">
        <v>50.0</v>
      </c>
      <c r="G100" s="26">
        <f t="shared" si="19"/>
        <v>35000</v>
      </c>
      <c r="H100" s="27"/>
      <c r="I100" s="28"/>
    </row>
    <row r="101" ht="15.75" customHeight="1">
      <c r="B101" s="23"/>
      <c r="C101" s="15" t="s">
        <v>171</v>
      </c>
      <c r="D101" s="24">
        <v>600.0</v>
      </c>
      <c r="E101" s="25"/>
      <c r="F101" s="10">
        <v>50.0</v>
      </c>
      <c r="G101" s="29">
        <f t="shared" si="19"/>
        <v>30000</v>
      </c>
      <c r="H101" s="30"/>
      <c r="I101" s="31"/>
    </row>
    <row r="102" ht="15.75" customHeight="1">
      <c r="I102" s="46"/>
    </row>
    <row r="103" ht="15.75" customHeight="1">
      <c r="B103" s="14">
        <v>46070.0</v>
      </c>
      <c r="C103" s="40" t="s">
        <v>32</v>
      </c>
      <c r="D103" s="15">
        <v>300.0</v>
      </c>
      <c r="E103" s="12"/>
      <c r="F103" s="10">
        <v>50.0</v>
      </c>
      <c r="G103" s="17">
        <f t="shared" ref="G103:G105" si="20">+F103*D103</f>
        <v>15000</v>
      </c>
      <c r="H103" s="18">
        <f>+G103+G105+G104</f>
        <v>85000</v>
      </c>
      <c r="I103" s="21">
        <v>248.0</v>
      </c>
    </row>
    <row r="104" ht="15.75" customHeight="1">
      <c r="B104" s="20"/>
      <c r="C104" s="24" t="s">
        <v>28</v>
      </c>
      <c r="D104" s="45">
        <v>1000.0</v>
      </c>
      <c r="E104" s="32"/>
      <c r="F104" s="15">
        <v>50.0</v>
      </c>
      <c r="G104" s="26">
        <f t="shared" si="20"/>
        <v>50000</v>
      </c>
      <c r="H104" s="27"/>
      <c r="I104" s="28"/>
    </row>
    <row r="105" ht="15.75" customHeight="1">
      <c r="B105" s="23"/>
      <c r="C105" s="15" t="s">
        <v>179</v>
      </c>
      <c r="D105" s="24">
        <v>400.0</v>
      </c>
      <c r="E105" s="25"/>
      <c r="F105" s="10">
        <v>50.0</v>
      </c>
      <c r="G105" s="29">
        <f t="shared" si="20"/>
        <v>20000</v>
      </c>
      <c r="H105" s="30"/>
      <c r="I105" s="31"/>
    </row>
    <row r="106" ht="15.75" customHeight="1">
      <c r="I106" s="46"/>
    </row>
    <row r="107" ht="15.75" customHeight="1">
      <c r="B107" s="14">
        <v>46071.0</v>
      </c>
      <c r="C107" s="40" t="s">
        <v>32</v>
      </c>
      <c r="D107" s="15">
        <v>300.0</v>
      </c>
      <c r="E107" s="12"/>
      <c r="F107" s="10">
        <v>50.0</v>
      </c>
      <c r="G107" s="17">
        <f t="shared" ref="G107:G109" si="21">+F107*D107</f>
        <v>15000</v>
      </c>
      <c r="H107" s="18">
        <f>+G107+G109+G108</f>
        <v>30000</v>
      </c>
      <c r="I107" s="21">
        <v>252.0</v>
      </c>
    </row>
    <row r="108" ht="15.75" customHeight="1">
      <c r="B108" s="20"/>
      <c r="C108" s="24" t="s">
        <v>28</v>
      </c>
      <c r="D108" s="45">
        <v>100.0</v>
      </c>
      <c r="E108" s="32"/>
      <c r="F108" s="15">
        <v>50.0</v>
      </c>
      <c r="G108" s="26">
        <f t="shared" si="21"/>
        <v>5000</v>
      </c>
      <c r="H108" s="27"/>
      <c r="I108" s="28"/>
    </row>
    <row r="109" ht="15.75" customHeight="1">
      <c r="B109" s="23"/>
      <c r="C109" s="15" t="s">
        <v>179</v>
      </c>
      <c r="D109" s="24">
        <v>200.0</v>
      </c>
      <c r="E109" s="25"/>
      <c r="F109" s="10">
        <v>50.0</v>
      </c>
      <c r="G109" s="29">
        <f t="shared" si="21"/>
        <v>10000</v>
      </c>
      <c r="H109" s="30"/>
      <c r="I109" s="31"/>
    </row>
    <row r="110" ht="15.75" customHeight="1">
      <c r="I110" s="46"/>
    </row>
    <row r="111" ht="15.75" customHeight="1">
      <c r="B111" s="14">
        <v>46075.0</v>
      </c>
      <c r="C111" s="40" t="s">
        <v>32</v>
      </c>
      <c r="D111" s="15">
        <v>500.0</v>
      </c>
      <c r="E111" s="12"/>
      <c r="F111" s="10">
        <v>50.0</v>
      </c>
      <c r="G111" s="17">
        <f t="shared" ref="G111:G112" si="22">+F111*D111</f>
        <v>25000</v>
      </c>
      <c r="H111" s="18">
        <f>+G111+G112</f>
        <v>35000</v>
      </c>
      <c r="I111" s="21">
        <v>258.0</v>
      </c>
    </row>
    <row r="112" ht="15.75" customHeight="1">
      <c r="B112" s="23"/>
      <c r="C112" s="15" t="s">
        <v>197</v>
      </c>
      <c r="D112" s="24">
        <v>200.0</v>
      </c>
      <c r="E112" s="25"/>
      <c r="F112" s="10">
        <v>50.0</v>
      </c>
      <c r="G112" s="29">
        <f t="shared" si="22"/>
        <v>10000</v>
      </c>
      <c r="H112" s="30"/>
      <c r="I112" s="31"/>
    </row>
    <row r="113" ht="15.75" customHeight="1">
      <c r="I113" s="46"/>
    </row>
    <row r="114" ht="15.75" customHeight="1">
      <c r="B114" s="14">
        <v>46077.0</v>
      </c>
      <c r="C114" s="40" t="s">
        <v>32</v>
      </c>
      <c r="D114" s="15">
        <v>500.0</v>
      </c>
      <c r="E114" s="12"/>
      <c r="F114" s="10">
        <v>50.0</v>
      </c>
      <c r="G114" s="17">
        <f t="shared" ref="G114:G115" si="23">+F114*D114</f>
        <v>25000</v>
      </c>
      <c r="H114" s="18">
        <f>+G114+G115</f>
        <v>40000</v>
      </c>
      <c r="I114" s="21">
        <v>264.0</v>
      </c>
    </row>
    <row r="115" ht="15.75" customHeight="1">
      <c r="B115" s="23"/>
      <c r="C115" s="15" t="s">
        <v>197</v>
      </c>
      <c r="D115" s="24">
        <v>300.0</v>
      </c>
      <c r="E115" s="25"/>
      <c r="F115" s="10">
        <v>50.0</v>
      </c>
      <c r="G115" s="29">
        <f t="shared" si="23"/>
        <v>15000</v>
      </c>
      <c r="H115" s="30"/>
      <c r="I115" s="31"/>
    </row>
    <row r="116" ht="15.75" customHeight="1">
      <c r="I116" s="46"/>
    </row>
    <row r="117" ht="15.75" customHeight="1">
      <c r="B117" s="14">
        <v>46078.0</v>
      </c>
      <c r="C117" s="40" t="s">
        <v>32</v>
      </c>
      <c r="D117" s="15">
        <v>200.0</v>
      </c>
      <c r="E117" s="12"/>
      <c r="F117" s="10">
        <v>50.0</v>
      </c>
      <c r="G117" s="17">
        <f t="shared" ref="G117:G118" si="24">+F117*D117</f>
        <v>10000</v>
      </c>
      <c r="H117" s="18">
        <f>+G117+G118</f>
        <v>20000</v>
      </c>
      <c r="I117" s="21">
        <v>266.0</v>
      </c>
    </row>
    <row r="118" ht="15.75" customHeight="1">
      <c r="B118" s="23"/>
      <c r="C118" s="15" t="s">
        <v>197</v>
      </c>
      <c r="D118" s="24">
        <v>200.0</v>
      </c>
      <c r="E118" s="25"/>
      <c r="F118" s="10">
        <v>50.0</v>
      </c>
      <c r="G118" s="29">
        <f t="shared" si="24"/>
        <v>10000</v>
      </c>
      <c r="H118" s="30"/>
      <c r="I118" s="31"/>
    </row>
    <row r="119" ht="15.75" customHeight="1">
      <c r="I119" s="46"/>
    </row>
    <row r="120" ht="15.75" customHeight="1">
      <c r="B120" s="14">
        <v>46082.0</v>
      </c>
      <c r="C120" s="40" t="s">
        <v>32</v>
      </c>
      <c r="D120" s="15">
        <v>500.0</v>
      </c>
      <c r="E120" s="12"/>
      <c r="F120" s="10">
        <v>50.0</v>
      </c>
      <c r="G120" s="17">
        <f t="shared" ref="G120:G123" si="25">+F120*D120</f>
        <v>25000</v>
      </c>
      <c r="H120" s="18">
        <f>+G120+G123+G121+G122</f>
        <v>40000</v>
      </c>
      <c r="I120" s="21">
        <v>271.0</v>
      </c>
    </row>
    <row r="121" ht="15.75" customHeight="1">
      <c r="B121" s="20"/>
      <c r="C121" s="40" t="s">
        <v>101</v>
      </c>
      <c r="D121" s="47">
        <v>100.0</v>
      </c>
      <c r="E121" s="48"/>
      <c r="F121" s="15">
        <v>50.0</v>
      </c>
      <c r="G121" s="17">
        <f t="shared" si="25"/>
        <v>5000</v>
      </c>
      <c r="H121" s="27"/>
      <c r="I121" s="28"/>
    </row>
    <row r="122" ht="15.75" customHeight="1">
      <c r="B122" s="20"/>
      <c r="C122" s="24" t="s">
        <v>28</v>
      </c>
      <c r="D122" s="45">
        <v>100.0</v>
      </c>
      <c r="E122" s="32"/>
      <c r="F122" s="15">
        <v>50.0</v>
      </c>
      <c r="G122" s="26">
        <f t="shared" si="25"/>
        <v>5000</v>
      </c>
      <c r="H122" s="27"/>
      <c r="I122" s="28"/>
    </row>
    <row r="123" ht="15.75" customHeight="1">
      <c r="B123" s="23"/>
      <c r="C123" s="15" t="s">
        <v>197</v>
      </c>
      <c r="D123" s="24">
        <v>100.0</v>
      </c>
      <c r="E123" s="25"/>
      <c r="F123" s="10">
        <v>50.0</v>
      </c>
      <c r="G123" s="29">
        <f t="shared" si="25"/>
        <v>5000</v>
      </c>
      <c r="H123" s="30"/>
      <c r="I123" s="31"/>
    </row>
    <row r="124" ht="15.75" customHeight="1">
      <c r="I124" s="46"/>
    </row>
    <row r="125" ht="15.75" customHeight="1">
      <c r="B125" s="39">
        <v>46085.0</v>
      </c>
      <c r="C125" s="40" t="s">
        <v>32</v>
      </c>
      <c r="D125" s="15">
        <v>1000.0</v>
      </c>
      <c r="E125" s="12"/>
      <c r="F125" s="15">
        <v>50.0</v>
      </c>
      <c r="G125" s="17">
        <f>+F125*D125</f>
        <v>50000</v>
      </c>
      <c r="H125" s="41">
        <f>G125</f>
        <v>50000</v>
      </c>
      <c r="I125" s="42">
        <v>280.0</v>
      </c>
    </row>
    <row r="126" ht="15.75" customHeight="1">
      <c r="I126" s="46"/>
    </row>
    <row r="127" ht="15.75" customHeight="1">
      <c r="B127" s="39">
        <v>46089.0</v>
      </c>
      <c r="C127" s="40" t="s">
        <v>32</v>
      </c>
      <c r="D127" s="15">
        <v>1200.0</v>
      </c>
      <c r="E127" s="12"/>
      <c r="F127" s="15">
        <v>50.0</v>
      </c>
      <c r="G127" s="17">
        <f>+F127*D127</f>
        <v>60000</v>
      </c>
      <c r="H127" s="41">
        <f>G127</f>
        <v>60000</v>
      </c>
      <c r="I127" s="42">
        <v>283.0</v>
      </c>
    </row>
    <row r="128" ht="15.75" customHeight="1">
      <c r="I128" s="46"/>
    </row>
    <row r="129" ht="15.75" customHeight="1">
      <c r="B129" s="39">
        <v>46090.0</v>
      </c>
      <c r="C129" s="40" t="s">
        <v>32</v>
      </c>
      <c r="D129" s="15">
        <v>1000.0</v>
      </c>
      <c r="E129" s="12"/>
      <c r="F129" s="15">
        <v>50.0</v>
      </c>
      <c r="G129" s="17">
        <f>+F129*D129</f>
        <v>50000</v>
      </c>
      <c r="H129" s="41">
        <f>G129</f>
        <v>50000</v>
      </c>
      <c r="I129" s="42">
        <v>286.0</v>
      </c>
    </row>
    <row r="130" ht="15.75" customHeight="1">
      <c r="I130" s="46"/>
    </row>
    <row r="131" ht="15.75" customHeight="1">
      <c r="B131" s="39">
        <v>46091.0</v>
      </c>
      <c r="C131" s="40" t="s">
        <v>32</v>
      </c>
      <c r="D131" s="15">
        <v>700.0</v>
      </c>
      <c r="E131" s="12"/>
      <c r="F131" s="15">
        <v>50.0</v>
      </c>
      <c r="G131" s="17">
        <f>+F131*D131</f>
        <v>35000</v>
      </c>
      <c r="H131" s="41">
        <f>G131</f>
        <v>35000</v>
      </c>
      <c r="I131" s="42">
        <v>288.0</v>
      </c>
    </row>
    <row r="132" ht="15.75" customHeight="1">
      <c r="I132" s="46"/>
    </row>
    <row r="133" ht="15.75" customHeight="1">
      <c r="B133" s="39">
        <v>46098.0</v>
      </c>
      <c r="C133" s="40" t="s">
        <v>32</v>
      </c>
      <c r="D133" s="15">
        <v>700.0</v>
      </c>
      <c r="E133" s="12"/>
      <c r="F133" s="15">
        <v>50.0</v>
      </c>
      <c r="G133" s="17">
        <f>+F133*D133</f>
        <v>35000</v>
      </c>
      <c r="H133" s="41">
        <f>G133</f>
        <v>35000</v>
      </c>
      <c r="I133" s="42">
        <v>300.0</v>
      </c>
    </row>
    <row r="134" ht="15.75" customHeight="1">
      <c r="I134" s="46"/>
    </row>
    <row r="135" ht="15.75" customHeight="1">
      <c r="B135" s="39">
        <v>46104.0</v>
      </c>
      <c r="C135" s="40" t="s">
        <v>32</v>
      </c>
      <c r="D135" s="15">
        <v>900.0</v>
      </c>
      <c r="E135" s="12"/>
      <c r="F135" s="15">
        <v>50.0</v>
      </c>
      <c r="G135" s="17">
        <f>+F135*D135</f>
        <v>45000</v>
      </c>
      <c r="H135" s="41">
        <f>G135</f>
        <v>45000</v>
      </c>
      <c r="I135" s="42">
        <v>302.0</v>
      </c>
    </row>
    <row r="136" ht="15.75" customHeight="1">
      <c r="I136" s="46"/>
    </row>
    <row r="137" ht="15.75" customHeight="1">
      <c r="B137" s="121">
        <v>46107.0</v>
      </c>
      <c r="C137" s="122" t="s">
        <v>221</v>
      </c>
      <c r="D137" s="77" t="s">
        <v>222</v>
      </c>
      <c r="E137" s="79"/>
      <c r="F137" s="77">
        <v>50.0</v>
      </c>
      <c r="G137" s="81">
        <v>110000.0</v>
      </c>
      <c r="H137" s="81">
        <v>110000.0</v>
      </c>
      <c r="I137" s="123">
        <v>305.0</v>
      </c>
    </row>
    <row r="138" ht="15.75" customHeight="1">
      <c r="C138" s="124"/>
      <c r="I138" s="46"/>
    </row>
    <row r="139" ht="15.75" customHeight="1">
      <c r="B139" s="125">
        <v>46113.0</v>
      </c>
      <c r="C139" s="53" t="s">
        <v>224</v>
      </c>
      <c r="D139" s="126">
        <v>100.0</v>
      </c>
      <c r="E139" s="127"/>
      <c r="F139" s="126">
        <v>50.0</v>
      </c>
      <c r="G139" s="128">
        <v>5000.0</v>
      </c>
      <c r="H139" s="128">
        <v>5000.0</v>
      </c>
      <c r="I139" s="42">
        <v>315.0</v>
      </c>
    </row>
    <row r="140" ht="15.75" customHeight="1">
      <c r="I140" s="46"/>
    </row>
    <row r="141" ht="15.75" customHeight="1">
      <c r="B141" s="76">
        <v>46114.0</v>
      </c>
      <c r="C141" s="65" t="s">
        <v>226</v>
      </c>
      <c r="D141" s="77">
        <v>1500.0</v>
      </c>
      <c r="E141" s="79"/>
      <c r="F141" s="77">
        <v>50.0</v>
      </c>
      <c r="G141" s="81">
        <v>75000.0</v>
      </c>
      <c r="H141" s="81">
        <v>75000.0</v>
      </c>
      <c r="I141" s="123">
        <v>316.0</v>
      </c>
    </row>
    <row r="142" ht="15.75" customHeight="1">
      <c r="B142" s="83"/>
      <c r="C142" s="83"/>
      <c r="D142" s="83"/>
      <c r="E142" s="83"/>
      <c r="F142" s="83"/>
      <c r="G142" s="83"/>
      <c r="H142" s="83"/>
      <c r="I142" s="37"/>
      <c r="J142" s="83"/>
    </row>
    <row r="143" ht="15.75" customHeight="1">
      <c r="B143" s="76">
        <v>46116.0</v>
      </c>
      <c r="C143" s="65" t="s">
        <v>227</v>
      </c>
      <c r="D143" s="77">
        <v>1500.0</v>
      </c>
      <c r="E143" s="79"/>
      <c r="F143" s="77">
        <v>50.0</v>
      </c>
      <c r="G143" s="81">
        <v>75000.0</v>
      </c>
      <c r="H143" s="81">
        <v>75000.0</v>
      </c>
      <c r="I143" s="123">
        <v>319.0</v>
      </c>
      <c r="J143" s="83"/>
    </row>
    <row r="144" ht="15.75" customHeight="1">
      <c r="B144" s="83"/>
      <c r="C144" s="83"/>
      <c r="D144" s="83"/>
      <c r="E144" s="83"/>
      <c r="F144" s="83"/>
      <c r="G144" s="83"/>
      <c r="H144" s="83"/>
      <c r="I144" s="37"/>
      <c r="J144" s="83"/>
    </row>
    <row r="145" ht="15.75" customHeight="1">
      <c r="B145" s="76">
        <v>46118.0</v>
      </c>
      <c r="C145" s="77" t="s">
        <v>228</v>
      </c>
      <c r="D145" s="77" t="s">
        <v>229</v>
      </c>
      <c r="E145" s="79"/>
      <c r="F145" s="77">
        <v>50.0</v>
      </c>
      <c r="G145" s="81">
        <v>25000.0</v>
      </c>
      <c r="H145" s="81">
        <v>25000.0</v>
      </c>
      <c r="I145" s="123">
        <v>324.0</v>
      </c>
      <c r="J145" s="83"/>
    </row>
    <row r="146" ht="15.75" customHeight="1">
      <c r="B146" s="83"/>
      <c r="C146" s="83"/>
      <c r="D146" s="83"/>
      <c r="E146" s="83"/>
      <c r="F146" s="83"/>
      <c r="G146" s="83"/>
      <c r="H146" s="83"/>
      <c r="I146" s="37"/>
      <c r="J146" s="83"/>
    </row>
    <row r="147" ht="15.75" customHeight="1">
      <c r="B147" s="76">
        <v>46119.0</v>
      </c>
      <c r="C147" s="77" t="s">
        <v>232</v>
      </c>
      <c r="D147" s="77">
        <v>100.0</v>
      </c>
      <c r="E147" s="79"/>
      <c r="F147" s="77">
        <v>50.0</v>
      </c>
      <c r="G147" s="81">
        <v>5000.0</v>
      </c>
      <c r="H147" s="81">
        <v>5000.0</v>
      </c>
      <c r="I147" s="123">
        <v>330.0</v>
      </c>
      <c r="J147" s="83"/>
    </row>
    <row r="148" ht="15.75" customHeight="1">
      <c r="B148" s="83"/>
      <c r="C148" s="83"/>
      <c r="D148" s="83"/>
      <c r="E148" s="83"/>
      <c r="F148" s="83"/>
      <c r="G148" s="83"/>
      <c r="H148" s="83"/>
      <c r="I148" s="37"/>
      <c r="J148" s="83"/>
    </row>
    <row r="149" ht="15.75" customHeight="1">
      <c r="B149" s="84">
        <v>46124.0</v>
      </c>
      <c r="C149" s="66" t="s">
        <v>236</v>
      </c>
      <c r="D149" s="66">
        <v>500.0</v>
      </c>
      <c r="E149" s="67"/>
      <c r="F149" s="66">
        <v>50.0</v>
      </c>
      <c r="G149" s="68">
        <v>25000.0</v>
      </c>
      <c r="H149" s="69">
        <v>45000.0</v>
      </c>
      <c r="I149" s="136">
        <v>336.0</v>
      </c>
      <c r="J149" s="83"/>
    </row>
    <row r="150" ht="15.75" customHeight="1">
      <c r="B150" s="20"/>
      <c r="C150" s="65" t="s">
        <v>239</v>
      </c>
      <c r="D150" s="65">
        <v>200.0</v>
      </c>
      <c r="E150" s="71"/>
      <c r="F150" s="65">
        <v>50.0</v>
      </c>
      <c r="G150" s="72">
        <v>10000.0</v>
      </c>
      <c r="H150" s="27"/>
      <c r="I150" s="28"/>
      <c r="J150" s="83"/>
    </row>
    <row r="151" ht="15.75" customHeight="1">
      <c r="B151" s="23"/>
      <c r="C151" s="73" t="s">
        <v>242</v>
      </c>
      <c r="D151" s="73">
        <v>200.0</v>
      </c>
      <c r="E151" s="74"/>
      <c r="F151" s="73">
        <v>50.0</v>
      </c>
      <c r="G151" s="75">
        <v>10000.0</v>
      </c>
      <c r="H151" s="30"/>
      <c r="I151" s="31"/>
      <c r="J151" s="83"/>
    </row>
    <row r="152" ht="15.75" customHeight="1">
      <c r="B152" s="83"/>
      <c r="C152" s="83"/>
      <c r="D152" s="83"/>
      <c r="E152" s="83"/>
      <c r="F152" s="83"/>
      <c r="G152" s="83"/>
      <c r="H152" s="83"/>
      <c r="I152" s="37"/>
      <c r="J152" s="83"/>
    </row>
    <row r="153" ht="15.75" customHeight="1">
      <c r="B153" s="76">
        <v>46127.0</v>
      </c>
      <c r="C153" s="66" t="s">
        <v>236</v>
      </c>
      <c r="D153" s="77">
        <f>500+800</f>
        <v>1300</v>
      </c>
      <c r="E153" s="79"/>
      <c r="F153" s="77">
        <v>50.0</v>
      </c>
      <c r="G153" s="81">
        <f>F153*D153</f>
        <v>65000</v>
      </c>
      <c r="H153" s="81">
        <f>G153</f>
        <v>65000</v>
      </c>
      <c r="I153" s="123" t="s">
        <v>250</v>
      </c>
      <c r="J153" s="139" t="s">
        <v>231</v>
      </c>
    </row>
    <row r="154" ht="15.75" customHeight="1">
      <c r="B154" s="83"/>
      <c r="C154" s="83"/>
      <c r="D154" s="83"/>
      <c r="E154" s="83"/>
      <c r="F154" s="83"/>
      <c r="G154" s="83"/>
      <c r="H154" s="83"/>
      <c r="I154" s="37"/>
      <c r="J154" s="83"/>
    </row>
    <row r="155" ht="15.75" customHeight="1">
      <c r="B155" s="14">
        <v>46128.0</v>
      </c>
      <c r="C155" s="40" t="s">
        <v>254</v>
      </c>
      <c r="D155" s="15">
        <v>400.0</v>
      </c>
      <c r="E155" s="12"/>
      <c r="F155" s="15">
        <v>80.0</v>
      </c>
      <c r="G155" s="17">
        <f t="shared" ref="G155:G156" si="26">+F155*D155</f>
        <v>32000</v>
      </c>
      <c r="H155" s="18">
        <f>+G155+G156</f>
        <v>40000</v>
      </c>
      <c r="I155" s="21">
        <v>348.0</v>
      </c>
      <c r="J155" s="83"/>
    </row>
    <row r="156" ht="15.75" customHeight="1">
      <c r="B156" s="23"/>
      <c r="C156" s="15" t="s">
        <v>257</v>
      </c>
      <c r="D156" s="24">
        <v>100.0</v>
      </c>
      <c r="E156" s="25"/>
      <c r="F156" s="15">
        <v>80.0</v>
      </c>
      <c r="G156" s="29">
        <f t="shared" si="26"/>
        <v>8000</v>
      </c>
      <c r="H156" s="30"/>
      <c r="I156" s="31"/>
      <c r="J156" s="83"/>
    </row>
    <row r="157" ht="15.75" customHeight="1">
      <c r="B157" s="83"/>
      <c r="C157" s="83"/>
      <c r="D157" s="83"/>
      <c r="E157" s="83"/>
      <c r="F157" s="83"/>
      <c r="G157" s="83"/>
      <c r="H157" s="83"/>
      <c r="I157" s="37"/>
      <c r="J157" s="83"/>
    </row>
    <row r="158" ht="15.75" customHeight="1">
      <c r="B158" s="84">
        <v>46132.0</v>
      </c>
      <c r="C158" s="66" t="s">
        <v>187</v>
      </c>
      <c r="D158" s="66">
        <v>100.0</v>
      </c>
      <c r="E158" s="67"/>
      <c r="F158" s="66">
        <v>80.0</v>
      </c>
      <c r="G158" s="68">
        <v>8000.0</v>
      </c>
      <c r="H158" s="69">
        <v>24000.0</v>
      </c>
      <c r="I158" s="136">
        <v>356.0</v>
      </c>
      <c r="J158" s="83"/>
    </row>
    <row r="159" ht="15.75" customHeight="1">
      <c r="B159" s="23"/>
      <c r="C159" s="73" t="s">
        <v>265</v>
      </c>
      <c r="D159" s="73">
        <v>200.0</v>
      </c>
      <c r="E159" s="74"/>
      <c r="F159" s="73">
        <v>80.0</v>
      </c>
      <c r="G159" s="75">
        <v>16000.0</v>
      </c>
      <c r="H159" s="30"/>
      <c r="I159" s="31"/>
      <c r="J159" s="83"/>
    </row>
    <row r="160" ht="15.75" customHeight="1">
      <c r="B160" s="83"/>
      <c r="C160" s="83"/>
      <c r="D160" s="83"/>
      <c r="E160" s="83"/>
      <c r="F160" s="83"/>
      <c r="G160" s="83"/>
      <c r="H160" s="83"/>
      <c r="I160" s="37"/>
      <c r="J160" s="83"/>
    </row>
    <row r="161" ht="15.75" customHeight="1">
      <c r="B161" s="84">
        <v>46133.0</v>
      </c>
      <c r="C161" s="66" t="s">
        <v>265</v>
      </c>
      <c r="D161" s="66">
        <v>200.0</v>
      </c>
      <c r="E161" s="67"/>
      <c r="F161" s="66">
        <v>80.0</v>
      </c>
      <c r="G161" s="68">
        <v>16000.0</v>
      </c>
      <c r="H161" s="69">
        <v>58500.0</v>
      </c>
      <c r="I161" s="136">
        <v>360.0</v>
      </c>
      <c r="J161" s="83"/>
    </row>
    <row r="162" ht="15.75" customHeight="1">
      <c r="B162" s="20"/>
      <c r="C162" s="65" t="s">
        <v>236</v>
      </c>
      <c r="D162" s="65" t="s">
        <v>270</v>
      </c>
      <c r="E162" s="71"/>
      <c r="F162" s="65">
        <v>50.0</v>
      </c>
      <c r="G162" s="72">
        <v>22500.0</v>
      </c>
      <c r="H162" s="27"/>
      <c r="I162" s="28"/>
      <c r="J162" s="83"/>
    </row>
    <row r="163" ht="15.75" customHeight="1">
      <c r="B163" s="20"/>
      <c r="C163" s="65" t="s">
        <v>271</v>
      </c>
      <c r="D163" s="65">
        <v>250.0</v>
      </c>
      <c r="E163" s="71"/>
      <c r="F163" s="65">
        <v>50.0</v>
      </c>
      <c r="G163" s="72">
        <v>12500.0</v>
      </c>
      <c r="H163" s="27"/>
      <c r="I163" s="28"/>
      <c r="J163" s="83"/>
    </row>
    <row r="164" ht="15.75" customHeight="1">
      <c r="B164" s="23"/>
      <c r="C164" s="73" t="s">
        <v>273</v>
      </c>
      <c r="D164" s="73">
        <v>150.0</v>
      </c>
      <c r="E164" s="74"/>
      <c r="F164" s="73">
        <v>50.0</v>
      </c>
      <c r="G164" s="75">
        <v>7500.0</v>
      </c>
      <c r="H164" s="30"/>
      <c r="I164" s="31"/>
      <c r="J164" s="83"/>
    </row>
    <row r="165" ht="15.75" customHeight="1">
      <c r="B165" s="83"/>
      <c r="C165" s="83"/>
      <c r="D165" s="83"/>
      <c r="E165" s="83"/>
      <c r="F165" s="83"/>
      <c r="G165" s="83"/>
      <c r="H165" s="83"/>
      <c r="I165" s="37"/>
      <c r="J165" s="83"/>
    </row>
    <row r="166" ht="15.75" customHeight="1">
      <c r="B166" s="84">
        <v>46134.0</v>
      </c>
      <c r="C166" s="66" t="s">
        <v>275</v>
      </c>
      <c r="D166" s="66">
        <v>600.0</v>
      </c>
      <c r="E166" s="67"/>
      <c r="F166" s="66">
        <v>50.0</v>
      </c>
      <c r="G166" s="68">
        <v>30000.0</v>
      </c>
      <c r="H166" s="69">
        <v>63000.0</v>
      </c>
      <c r="I166" s="136">
        <v>365.0</v>
      </c>
      <c r="J166" s="83"/>
    </row>
    <row r="167" ht="15.75" customHeight="1">
      <c r="B167" s="20"/>
      <c r="C167" s="65" t="s">
        <v>278</v>
      </c>
      <c r="D167" s="65">
        <v>300.0</v>
      </c>
      <c r="E167" s="71"/>
      <c r="F167" s="65">
        <v>50.0</v>
      </c>
      <c r="G167" s="72">
        <v>15000.0</v>
      </c>
      <c r="H167" s="27"/>
      <c r="I167" s="28"/>
      <c r="J167" s="83"/>
    </row>
    <row r="168" ht="15.75" customHeight="1">
      <c r="B168" s="20"/>
      <c r="C168" s="65" t="s">
        <v>282</v>
      </c>
      <c r="D168" s="65">
        <v>200.0</v>
      </c>
      <c r="E168" s="71"/>
      <c r="F168" s="65">
        <v>50.0</v>
      </c>
      <c r="G168" s="72">
        <v>10000.0</v>
      </c>
      <c r="H168" s="27"/>
      <c r="I168" s="28"/>
      <c r="J168" s="83"/>
    </row>
    <row r="169" ht="15.75" customHeight="1">
      <c r="B169" s="23"/>
      <c r="C169" s="73" t="s">
        <v>283</v>
      </c>
      <c r="D169" s="73">
        <v>100.0</v>
      </c>
      <c r="E169" s="74"/>
      <c r="F169" s="73">
        <v>80.0</v>
      </c>
      <c r="G169" s="75">
        <v>8000.0</v>
      </c>
      <c r="H169" s="30"/>
      <c r="I169" s="31"/>
      <c r="J169" s="83"/>
    </row>
    <row r="170" ht="15.75" customHeight="1">
      <c r="I170" s="46"/>
    </row>
    <row r="171" ht="15.75" customHeight="1">
      <c r="B171" s="84">
        <v>46141.0</v>
      </c>
      <c r="C171" s="66" t="s">
        <v>284</v>
      </c>
      <c r="D171" s="66">
        <v>200.0</v>
      </c>
      <c r="E171" s="67"/>
      <c r="F171" s="66">
        <v>50.0</v>
      </c>
      <c r="G171" s="68">
        <f t="shared" ref="G171:G173" si="27">F171*D171</f>
        <v>10000</v>
      </c>
      <c r="H171" s="69">
        <f>G171+G172+G173</f>
        <v>102000</v>
      </c>
      <c r="I171" s="136">
        <v>375.0</v>
      </c>
    </row>
    <row r="172" ht="15.75" customHeight="1">
      <c r="B172" s="20"/>
      <c r="C172" s="65" t="s">
        <v>257</v>
      </c>
      <c r="D172" s="65">
        <v>350.0</v>
      </c>
      <c r="E172" s="71"/>
      <c r="F172" s="65">
        <v>80.0</v>
      </c>
      <c r="G172" s="68">
        <f t="shared" si="27"/>
        <v>28000</v>
      </c>
      <c r="H172" s="27"/>
      <c r="I172" s="28"/>
    </row>
    <row r="173" ht="15.75" customHeight="1">
      <c r="B173" s="23"/>
      <c r="C173" s="73" t="s">
        <v>254</v>
      </c>
      <c r="D173" s="73">
        <v>800.0</v>
      </c>
      <c r="E173" s="74"/>
      <c r="F173" s="73">
        <v>80.0</v>
      </c>
      <c r="G173" s="68">
        <f t="shared" si="27"/>
        <v>64000</v>
      </c>
      <c r="H173" s="30"/>
      <c r="I173" s="31"/>
    </row>
    <row r="174" ht="15.75" customHeight="1">
      <c r="I174" s="46"/>
    </row>
    <row r="175" ht="15.75" customHeight="1">
      <c r="B175" s="84">
        <v>46142.0</v>
      </c>
      <c r="C175" s="66" t="s">
        <v>291</v>
      </c>
      <c r="D175" s="66">
        <v>700.0</v>
      </c>
      <c r="E175" s="67"/>
      <c r="F175" s="66">
        <v>50.0</v>
      </c>
      <c r="G175" s="68">
        <v>35000.0</v>
      </c>
      <c r="H175" s="69">
        <v>59000.0</v>
      </c>
      <c r="I175" s="136">
        <v>378.0</v>
      </c>
    </row>
    <row r="176" ht="15.75" customHeight="1">
      <c r="B176" s="23"/>
      <c r="C176" s="73" t="s">
        <v>294</v>
      </c>
      <c r="D176" s="73">
        <v>300.0</v>
      </c>
      <c r="E176" s="74"/>
      <c r="F176" s="73">
        <v>80.0</v>
      </c>
      <c r="G176" s="75">
        <v>24000.0</v>
      </c>
      <c r="H176" s="30"/>
      <c r="I176" s="31"/>
    </row>
    <row r="177" ht="15.75" customHeight="1">
      <c r="I177" s="46"/>
    </row>
    <row r="178" ht="15.75" customHeight="1">
      <c r="B178" s="76">
        <v>46147.0</v>
      </c>
      <c r="C178" s="77" t="s">
        <v>298</v>
      </c>
      <c r="D178" s="77">
        <v>1300.0</v>
      </c>
      <c r="E178" s="79"/>
      <c r="F178" s="77">
        <v>50.0</v>
      </c>
      <c r="G178" s="81">
        <v>65000.0</v>
      </c>
      <c r="H178" s="81">
        <v>65000.0</v>
      </c>
      <c r="I178" s="123">
        <v>385.0</v>
      </c>
    </row>
    <row r="179" ht="15.75" customHeight="1">
      <c r="I179" s="46"/>
    </row>
    <row r="180" ht="15.75" customHeight="1">
      <c r="B180" s="76">
        <v>46148.0</v>
      </c>
      <c r="C180" s="77" t="s">
        <v>301</v>
      </c>
      <c r="D180" s="77">
        <v>300.0</v>
      </c>
      <c r="E180" s="79"/>
      <c r="F180" s="77">
        <v>50.0</v>
      </c>
      <c r="G180" s="153">
        <f>F180*D180</f>
        <v>15000</v>
      </c>
      <c r="H180" s="154">
        <f>G180</f>
        <v>15000</v>
      </c>
      <c r="I180" s="155">
        <v>389.0</v>
      </c>
    </row>
    <row r="181" ht="15.75" customHeight="1">
      <c r="I181" s="46"/>
    </row>
    <row r="182" ht="15.75" customHeight="1">
      <c r="B182" s="76">
        <v>46149.0</v>
      </c>
      <c r="C182" s="77" t="s">
        <v>301</v>
      </c>
      <c r="D182" s="77">
        <v>400.0</v>
      </c>
      <c r="E182" s="79"/>
      <c r="F182" s="77">
        <v>50.0</v>
      </c>
      <c r="G182" s="81">
        <f>F182*D182</f>
        <v>20000</v>
      </c>
      <c r="H182" s="81">
        <f>G182</f>
        <v>20000</v>
      </c>
      <c r="I182" s="123">
        <v>390.0</v>
      </c>
    </row>
    <row r="183" ht="15.75" customHeight="1">
      <c r="I183" s="46"/>
    </row>
    <row r="184" ht="15.75" customHeight="1">
      <c r="B184" s="76">
        <v>46151.0</v>
      </c>
      <c r="C184" s="77" t="s">
        <v>310</v>
      </c>
      <c r="D184" s="77">
        <v>500.0</v>
      </c>
      <c r="E184" s="79"/>
      <c r="F184" s="77">
        <v>50.0</v>
      </c>
      <c r="G184" s="81">
        <v>25000.0</v>
      </c>
      <c r="H184" s="81">
        <v>25000.0</v>
      </c>
      <c r="I184" s="123">
        <v>392.0</v>
      </c>
    </row>
    <row r="185" ht="15.75" customHeight="1">
      <c r="B185" s="83"/>
      <c r="C185" s="83"/>
      <c r="D185" s="83"/>
      <c r="E185" s="83"/>
      <c r="F185" s="83"/>
      <c r="G185" s="83"/>
      <c r="H185" s="83"/>
      <c r="I185" s="37"/>
    </row>
    <row r="186" ht="15.75" customHeight="1">
      <c r="B186" s="84">
        <v>46151.0</v>
      </c>
      <c r="C186" s="66" t="s">
        <v>298</v>
      </c>
      <c r="D186" s="66">
        <v>800.0</v>
      </c>
      <c r="E186" s="67"/>
      <c r="F186" s="66">
        <v>50.0</v>
      </c>
      <c r="G186" s="68">
        <v>40000.0</v>
      </c>
      <c r="H186" s="69">
        <v>58000.0</v>
      </c>
      <c r="I186" s="136">
        <v>393.0</v>
      </c>
    </row>
    <row r="187" ht="15.75" customHeight="1">
      <c r="B187" s="20"/>
      <c r="C187" s="65" t="s">
        <v>321</v>
      </c>
      <c r="D187" s="65">
        <v>200.0</v>
      </c>
      <c r="E187" s="71"/>
      <c r="F187" s="65">
        <v>50.0</v>
      </c>
      <c r="G187" s="72">
        <v>10000.0</v>
      </c>
      <c r="H187" s="27"/>
      <c r="I187" s="28"/>
    </row>
    <row r="188" ht="15.75" customHeight="1">
      <c r="B188" s="23"/>
      <c r="C188" s="73" t="s">
        <v>323</v>
      </c>
      <c r="D188" s="73">
        <v>100.0</v>
      </c>
      <c r="E188" s="74"/>
      <c r="F188" s="73">
        <v>80.0</v>
      </c>
      <c r="G188" s="75">
        <v>8000.0</v>
      </c>
      <c r="H188" s="30"/>
      <c r="I188" s="31"/>
    </row>
    <row r="189" ht="15.75" customHeight="1">
      <c r="B189" s="83"/>
      <c r="C189" s="83"/>
      <c r="D189" s="83"/>
      <c r="E189" s="83"/>
      <c r="F189" s="83"/>
      <c r="G189" s="83"/>
      <c r="H189" s="83"/>
      <c r="I189" s="37"/>
    </row>
    <row r="190" ht="15.75" customHeight="1">
      <c r="B190" s="84">
        <v>46153.0</v>
      </c>
      <c r="C190" s="66" t="s">
        <v>291</v>
      </c>
      <c r="D190" s="66">
        <v>300.0</v>
      </c>
      <c r="E190" s="67"/>
      <c r="F190" s="66">
        <v>50.0</v>
      </c>
      <c r="G190" s="68">
        <f>F190*D190</f>
        <v>15000</v>
      </c>
      <c r="H190" s="69">
        <f>G190+G191</f>
        <v>39000</v>
      </c>
      <c r="I190" s="136">
        <v>395.0</v>
      </c>
    </row>
    <row r="191" ht="15.75" customHeight="1">
      <c r="B191" s="23"/>
      <c r="C191" s="73" t="s">
        <v>294</v>
      </c>
      <c r="D191" s="73">
        <v>300.0</v>
      </c>
      <c r="E191" s="74"/>
      <c r="F191" s="73">
        <v>80.0</v>
      </c>
      <c r="G191" s="75">
        <v>24000.0</v>
      </c>
      <c r="H191" s="30"/>
      <c r="I191" s="31"/>
    </row>
    <row r="192" ht="15.75" customHeight="1">
      <c r="B192" s="83"/>
      <c r="C192" s="83"/>
      <c r="D192" s="83"/>
      <c r="E192" s="83"/>
      <c r="F192" s="83"/>
      <c r="G192" s="83"/>
      <c r="H192" s="83"/>
      <c r="I192" s="37"/>
    </row>
    <row r="193" ht="15.75" customHeight="1">
      <c r="B193" s="76">
        <v>46155.0</v>
      </c>
      <c r="C193" s="77" t="s">
        <v>331</v>
      </c>
      <c r="D193" s="77">
        <v>100.0</v>
      </c>
      <c r="E193" s="79"/>
      <c r="F193" s="77">
        <v>50.0</v>
      </c>
      <c r="G193" s="81">
        <f>F193*D193</f>
        <v>5000</v>
      </c>
      <c r="H193" s="81">
        <f>G193</f>
        <v>5000</v>
      </c>
      <c r="I193" s="123">
        <v>400.0</v>
      </c>
    </row>
    <row r="194" ht="15.75" customHeight="1">
      <c r="B194" s="83"/>
      <c r="C194" s="83"/>
      <c r="D194" s="83"/>
      <c r="E194" s="83"/>
      <c r="F194" s="83"/>
      <c r="G194" s="83"/>
      <c r="H194" s="83"/>
      <c r="I194" s="37"/>
    </row>
    <row r="195" ht="15.75" customHeight="1">
      <c r="B195" s="76">
        <v>46194.0</v>
      </c>
      <c r="C195" s="73" t="s">
        <v>294</v>
      </c>
      <c r="D195" s="73">
        <v>300.0</v>
      </c>
      <c r="E195" s="74"/>
      <c r="F195" s="73">
        <v>80.0</v>
      </c>
      <c r="G195" s="75">
        <v>24000.0</v>
      </c>
      <c r="H195" s="81">
        <f>G195</f>
        <v>24000</v>
      </c>
      <c r="I195" s="123">
        <v>424.0</v>
      </c>
    </row>
    <row r="196" ht="15.75" customHeight="1">
      <c r="B196" s="83"/>
      <c r="C196" s="83"/>
      <c r="D196" s="83"/>
      <c r="E196" s="83"/>
      <c r="F196" s="83"/>
      <c r="G196" s="83"/>
      <c r="H196" s="83"/>
      <c r="I196" s="37"/>
    </row>
    <row r="197" ht="15.75" customHeight="1">
      <c r="B197" s="83"/>
      <c r="C197" s="83"/>
      <c r="D197" s="83"/>
      <c r="E197" s="83"/>
      <c r="F197" s="83"/>
      <c r="G197" s="83"/>
      <c r="H197" s="83"/>
      <c r="I197" s="37"/>
    </row>
    <row r="198" ht="15.75" customHeight="1">
      <c r="B198" s="83"/>
      <c r="C198" s="83"/>
      <c r="D198" s="83"/>
      <c r="E198" s="83"/>
      <c r="F198" s="83"/>
      <c r="G198" s="83"/>
      <c r="H198" s="83"/>
      <c r="I198" s="37"/>
    </row>
    <row r="199" ht="15.75" customHeight="1">
      <c r="B199" s="83"/>
      <c r="C199" s="83"/>
      <c r="D199" s="83"/>
      <c r="E199" s="83"/>
      <c r="F199" s="83"/>
      <c r="G199" s="83"/>
      <c r="H199" s="83"/>
      <c r="I199" s="37"/>
    </row>
    <row r="200" ht="15.75" customHeight="1">
      <c r="B200" s="83"/>
      <c r="C200" s="83"/>
      <c r="D200" s="83"/>
      <c r="E200" s="83"/>
      <c r="F200" s="83"/>
      <c r="G200" s="83"/>
      <c r="H200" s="83"/>
      <c r="I200" s="37"/>
    </row>
    <row r="201" ht="15.75" customHeight="1">
      <c r="B201" s="83"/>
      <c r="C201" s="83"/>
      <c r="D201" s="83"/>
      <c r="E201" s="83"/>
      <c r="F201" s="83"/>
      <c r="G201" s="83"/>
      <c r="H201" s="83"/>
      <c r="I201" s="37"/>
    </row>
    <row r="202" ht="15.75" customHeight="1">
      <c r="B202" s="83"/>
      <c r="C202" s="83"/>
      <c r="D202" s="83"/>
      <c r="E202" s="83"/>
      <c r="F202" s="83"/>
      <c r="G202" s="83"/>
      <c r="H202" s="83"/>
      <c r="I202" s="37"/>
    </row>
    <row r="203" ht="15.75" customHeight="1">
      <c r="B203" s="83"/>
      <c r="C203" s="83"/>
      <c r="D203" s="83"/>
      <c r="E203" s="83"/>
      <c r="F203" s="83"/>
      <c r="G203" s="83"/>
      <c r="H203" s="83"/>
      <c r="I203" s="37"/>
    </row>
    <row r="204" ht="15.75" customHeight="1">
      <c r="B204" s="83"/>
      <c r="C204" s="83"/>
      <c r="D204" s="83"/>
      <c r="E204" s="83"/>
      <c r="F204" s="83"/>
      <c r="G204" s="83"/>
      <c r="H204" s="83"/>
      <c r="I204" s="37"/>
    </row>
    <row r="205" ht="15.75" customHeight="1">
      <c r="B205" s="83"/>
      <c r="C205" s="83"/>
      <c r="D205" s="83"/>
      <c r="E205" s="83"/>
      <c r="F205" s="83"/>
      <c r="G205" s="83"/>
      <c r="H205" s="83"/>
      <c r="I205" s="37"/>
    </row>
    <row r="206" ht="15.75" customHeight="1">
      <c r="B206" s="83"/>
      <c r="C206" s="83"/>
      <c r="D206" s="83"/>
      <c r="E206" s="83"/>
      <c r="F206" s="83"/>
      <c r="G206" s="83"/>
      <c r="H206" s="83"/>
      <c r="I206" s="37"/>
    </row>
    <row r="207" ht="15.75" customHeight="1">
      <c r="B207" s="83"/>
      <c r="C207" s="83"/>
      <c r="D207" s="83"/>
      <c r="E207" s="83"/>
      <c r="F207" s="83"/>
      <c r="G207" s="83"/>
      <c r="H207" s="83"/>
      <c r="I207" s="37"/>
    </row>
    <row r="208" ht="15.75" customHeight="1">
      <c r="B208" s="83"/>
      <c r="C208" s="83"/>
      <c r="D208" s="83"/>
      <c r="E208" s="83"/>
      <c r="F208" s="83"/>
      <c r="G208" s="83"/>
      <c r="H208" s="83"/>
      <c r="I208" s="37"/>
    </row>
    <row r="209" ht="15.75" customHeight="1">
      <c r="B209" s="83"/>
      <c r="C209" s="83"/>
      <c r="D209" s="83"/>
      <c r="E209" s="83"/>
      <c r="F209" s="83"/>
      <c r="G209" s="83"/>
      <c r="H209" s="83"/>
      <c r="I209" s="37"/>
    </row>
    <row r="210" ht="15.75" customHeight="1">
      <c r="B210" s="83"/>
      <c r="C210" s="83"/>
      <c r="D210" s="83"/>
      <c r="E210" s="83"/>
      <c r="F210" s="83"/>
      <c r="G210" s="83"/>
      <c r="H210" s="83"/>
      <c r="I210" s="37"/>
    </row>
    <row r="211" ht="15.75" customHeight="1">
      <c r="B211" s="83"/>
      <c r="C211" s="83"/>
      <c r="D211" s="83"/>
      <c r="E211" s="83"/>
      <c r="F211" s="83"/>
      <c r="G211" s="83"/>
      <c r="H211" s="83"/>
      <c r="I211" s="37"/>
    </row>
    <row r="212" ht="15.75" customHeight="1">
      <c r="B212" s="83"/>
      <c r="C212" s="83"/>
      <c r="D212" s="83"/>
      <c r="E212" s="83"/>
      <c r="F212" s="83"/>
      <c r="G212" s="83"/>
      <c r="H212" s="83"/>
      <c r="I212" s="37"/>
    </row>
    <row r="213" ht="15.75" customHeight="1">
      <c r="B213" s="83"/>
      <c r="C213" s="83"/>
      <c r="D213" s="83"/>
      <c r="E213" s="83"/>
      <c r="F213" s="83"/>
      <c r="G213" s="83"/>
      <c r="H213" s="83"/>
      <c r="I213" s="37"/>
    </row>
    <row r="214" ht="15.75" customHeight="1">
      <c r="B214" s="83"/>
      <c r="C214" s="83"/>
      <c r="D214" s="83"/>
      <c r="E214" s="83"/>
      <c r="F214" s="83"/>
      <c r="G214" s="83"/>
      <c r="H214" s="83"/>
      <c r="I214" s="37"/>
    </row>
    <row r="215" ht="15.75" customHeight="1">
      <c r="B215" s="83"/>
      <c r="C215" s="83"/>
      <c r="D215" s="83"/>
      <c r="E215" s="83"/>
      <c r="F215" s="83"/>
      <c r="G215" s="83"/>
      <c r="H215" s="83"/>
      <c r="I215" s="37"/>
    </row>
    <row r="216" ht="15.75" customHeight="1">
      <c r="B216" s="83"/>
      <c r="C216" s="83"/>
      <c r="D216" s="83"/>
      <c r="E216" s="83"/>
      <c r="F216" s="83"/>
      <c r="G216" s="83"/>
      <c r="H216" s="83"/>
      <c r="I216" s="37"/>
    </row>
    <row r="217" ht="15.75" customHeight="1">
      <c r="B217" s="83"/>
      <c r="C217" s="83"/>
      <c r="D217" s="83"/>
      <c r="E217" s="83"/>
      <c r="F217" s="83"/>
      <c r="G217" s="83"/>
      <c r="H217" s="83"/>
      <c r="I217" s="37"/>
    </row>
    <row r="218" ht="15.75" customHeight="1">
      <c r="B218" s="83"/>
      <c r="C218" s="83"/>
      <c r="D218" s="83"/>
      <c r="E218" s="83"/>
      <c r="F218" s="83"/>
      <c r="G218" s="83"/>
      <c r="H218" s="83"/>
      <c r="I218" s="37"/>
    </row>
    <row r="219" ht="15.75" customHeight="1">
      <c r="B219" s="83"/>
      <c r="C219" s="83"/>
      <c r="D219" s="83"/>
      <c r="E219" s="83"/>
      <c r="F219" s="83"/>
      <c r="G219" s="83"/>
      <c r="H219" s="83"/>
      <c r="I219" s="37"/>
    </row>
    <row r="220" ht="15.75" customHeight="1">
      <c r="B220" s="83"/>
      <c r="C220" s="83"/>
      <c r="D220" s="83"/>
      <c r="E220" s="83"/>
      <c r="F220" s="83"/>
      <c r="G220" s="83"/>
      <c r="H220" s="83"/>
      <c r="I220" s="37"/>
    </row>
    <row r="221" ht="15.75" customHeight="1">
      <c r="B221" s="83"/>
      <c r="C221" s="83"/>
      <c r="D221" s="83"/>
      <c r="E221" s="83"/>
      <c r="F221" s="83"/>
      <c r="G221" s="83"/>
      <c r="H221" s="83"/>
      <c r="I221" s="37"/>
    </row>
    <row r="222" ht="15.75" customHeight="1">
      <c r="B222" s="83"/>
      <c r="C222" s="83"/>
      <c r="D222" s="83"/>
      <c r="E222" s="83"/>
      <c r="F222" s="83"/>
      <c r="G222" s="83"/>
      <c r="H222" s="83"/>
      <c r="I222" s="37"/>
    </row>
    <row r="223" ht="15.75" customHeight="1">
      <c r="B223" s="83"/>
      <c r="C223" s="83"/>
      <c r="D223" s="83"/>
      <c r="E223" s="83"/>
      <c r="F223" s="83"/>
      <c r="G223" s="83"/>
      <c r="H223" s="83"/>
      <c r="I223" s="37"/>
    </row>
    <row r="224" ht="15.75" customHeight="1">
      <c r="B224" s="83"/>
      <c r="C224" s="83"/>
      <c r="D224" s="83"/>
      <c r="E224" s="83"/>
      <c r="F224" s="83"/>
      <c r="G224" s="83"/>
      <c r="H224" s="83"/>
      <c r="I224" s="37"/>
    </row>
    <row r="225" ht="15.75" customHeight="1">
      <c r="B225" s="83"/>
      <c r="C225" s="83"/>
      <c r="D225" s="83"/>
      <c r="E225" s="83"/>
      <c r="F225" s="83"/>
      <c r="G225" s="83"/>
      <c r="H225" s="83"/>
      <c r="I225" s="37"/>
    </row>
    <row r="226" ht="15.75" customHeight="1">
      <c r="B226" s="83"/>
      <c r="C226" s="83"/>
      <c r="D226" s="83"/>
      <c r="E226" s="83"/>
      <c r="F226" s="83"/>
      <c r="G226" s="83"/>
      <c r="H226" s="83"/>
      <c r="I226" s="37"/>
    </row>
    <row r="227" ht="15.75" customHeight="1">
      <c r="B227" s="83"/>
      <c r="C227" s="83"/>
      <c r="D227" s="83"/>
      <c r="E227" s="83"/>
      <c r="F227" s="83"/>
      <c r="G227" s="83"/>
      <c r="H227" s="83"/>
      <c r="I227" s="37"/>
    </row>
    <row r="228" ht="15.75" customHeight="1">
      <c r="B228" s="83"/>
      <c r="C228" s="83"/>
      <c r="D228" s="83"/>
      <c r="E228" s="83"/>
      <c r="F228" s="83"/>
      <c r="G228" s="83"/>
      <c r="H228" s="83"/>
      <c r="I228" s="37"/>
    </row>
    <row r="229" ht="15.75" customHeight="1">
      <c r="B229" s="83"/>
      <c r="C229" s="83"/>
      <c r="D229" s="83"/>
      <c r="E229" s="83"/>
      <c r="F229" s="83"/>
      <c r="G229" s="83"/>
      <c r="H229" s="83"/>
      <c r="I229" s="37"/>
    </row>
    <row r="230" ht="15.75" customHeight="1">
      <c r="B230" s="83"/>
      <c r="C230" s="83"/>
      <c r="D230" s="83"/>
      <c r="E230" s="83"/>
      <c r="F230" s="83"/>
      <c r="G230" s="83"/>
      <c r="H230" s="83"/>
      <c r="I230" s="37"/>
    </row>
    <row r="231" ht="15.75" customHeight="1">
      <c r="B231" s="83"/>
      <c r="C231" s="83"/>
      <c r="D231" s="83"/>
      <c r="E231" s="83"/>
      <c r="F231" s="83"/>
      <c r="G231" s="83"/>
      <c r="H231" s="83"/>
      <c r="I231" s="37"/>
    </row>
    <row r="232" ht="15.75" customHeight="1">
      <c r="B232" s="83"/>
      <c r="C232" s="83"/>
      <c r="D232" s="83"/>
      <c r="E232" s="83"/>
      <c r="F232" s="83"/>
      <c r="G232" s="83"/>
      <c r="H232" s="83"/>
      <c r="I232" s="37"/>
    </row>
    <row r="233" ht="15.75" customHeight="1">
      <c r="B233" s="83"/>
      <c r="C233" s="83"/>
      <c r="D233" s="83"/>
      <c r="E233" s="83"/>
      <c r="F233" s="83"/>
      <c r="G233" s="83"/>
      <c r="H233" s="83"/>
      <c r="I233" s="37"/>
    </row>
    <row r="234" ht="15.75" customHeight="1">
      <c r="B234" s="83"/>
      <c r="C234" s="83"/>
      <c r="D234" s="83"/>
      <c r="E234" s="83"/>
      <c r="F234" s="83"/>
      <c r="G234" s="83"/>
      <c r="H234" s="83"/>
      <c r="I234" s="37"/>
    </row>
    <row r="235" ht="15.75" customHeight="1">
      <c r="B235" s="83"/>
      <c r="C235" s="83"/>
      <c r="D235" s="83"/>
      <c r="E235" s="83"/>
      <c r="F235" s="83"/>
      <c r="G235" s="83"/>
      <c r="H235" s="83"/>
      <c r="I235" s="37"/>
    </row>
    <row r="236" ht="15.75" customHeight="1">
      <c r="B236" s="83"/>
      <c r="C236" s="83"/>
      <c r="D236" s="83"/>
      <c r="E236" s="83"/>
      <c r="F236" s="83"/>
      <c r="G236" s="83"/>
      <c r="H236" s="83"/>
      <c r="I236" s="37"/>
    </row>
    <row r="237" ht="15.75" customHeight="1">
      <c r="B237" s="83"/>
      <c r="C237" s="83"/>
      <c r="D237" s="83"/>
      <c r="E237" s="83"/>
      <c r="F237" s="83"/>
      <c r="G237" s="83"/>
      <c r="H237" s="83"/>
      <c r="I237" s="37"/>
    </row>
    <row r="238" ht="15.75" customHeight="1">
      <c r="B238" s="83"/>
      <c r="C238" s="83"/>
      <c r="D238" s="83"/>
      <c r="E238" s="83"/>
      <c r="F238" s="83"/>
      <c r="G238" s="83"/>
      <c r="H238" s="83"/>
      <c r="I238" s="37"/>
    </row>
    <row r="239" ht="15.75" customHeight="1">
      <c r="B239" s="83"/>
      <c r="C239" s="83"/>
      <c r="D239" s="83"/>
      <c r="E239" s="83"/>
      <c r="F239" s="83"/>
      <c r="G239" s="83"/>
      <c r="H239" s="83"/>
      <c r="I239" s="37"/>
    </row>
    <row r="240" ht="15.75" customHeight="1">
      <c r="B240" s="83"/>
      <c r="C240" s="83"/>
      <c r="D240" s="83"/>
      <c r="E240" s="83"/>
      <c r="F240" s="83"/>
      <c r="G240" s="83"/>
      <c r="H240" s="83"/>
      <c r="I240" s="37"/>
    </row>
    <row r="241" ht="15.75" customHeight="1">
      <c r="B241" s="83"/>
      <c r="C241" s="83"/>
      <c r="D241" s="83"/>
      <c r="E241" s="83"/>
      <c r="F241" s="83"/>
      <c r="G241" s="83"/>
      <c r="H241" s="83"/>
      <c r="I241" s="37"/>
    </row>
    <row r="242" ht="15.75" customHeight="1">
      <c r="B242" s="83"/>
      <c r="C242" s="83"/>
      <c r="D242" s="83"/>
      <c r="E242" s="83"/>
      <c r="F242" s="83"/>
      <c r="G242" s="83"/>
      <c r="H242" s="83"/>
      <c r="I242" s="37"/>
    </row>
    <row r="243" ht="15.75" customHeight="1">
      <c r="B243" s="83"/>
      <c r="C243" s="83"/>
      <c r="D243" s="83"/>
      <c r="E243" s="83"/>
      <c r="F243" s="83"/>
      <c r="G243" s="83"/>
      <c r="H243" s="83"/>
      <c r="I243" s="37"/>
    </row>
    <row r="244" ht="15.75" customHeight="1">
      <c r="B244" s="83"/>
      <c r="C244" s="83"/>
      <c r="D244" s="83"/>
      <c r="E244" s="83"/>
      <c r="F244" s="83"/>
      <c r="G244" s="83"/>
      <c r="H244" s="83"/>
      <c r="I244" s="37"/>
    </row>
    <row r="245" ht="15.75" customHeight="1">
      <c r="I245" s="46"/>
    </row>
    <row r="246" ht="15.75" customHeight="1">
      <c r="I246" s="46"/>
    </row>
    <row r="247" ht="15.75" customHeight="1">
      <c r="I247" s="46"/>
    </row>
    <row r="248" ht="15.75" customHeight="1">
      <c r="I248" s="46"/>
    </row>
    <row r="249" ht="15.75" customHeight="1">
      <c r="I249" s="46"/>
    </row>
    <row r="250" ht="15.75" customHeight="1">
      <c r="I250" s="46"/>
    </row>
    <row r="251" ht="15.75" customHeight="1">
      <c r="I251" s="46"/>
    </row>
    <row r="252" ht="15.75" customHeight="1">
      <c r="I252" s="46"/>
    </row>
    <row r="253" ht="15.75" customHeight="1">
      <c r="I253" s="46"/>
    </row>
    <row r="254" ht="15.75" customHeight="1">
      <c r="I254" s="46"/>
    </row>
    <row r="255" ht="15.75" customHeight="1">
      <c r="I255" s="46"/>
    </row>
    <row r="256" ht="15.75" customHeight="1">
      <c r="I256" s="46"/>
    </row>
    <row r="257" ht="15.75" customHeight="1">
      <c r="I257" s="46"/>
    </row>
    <row r="258" ht="15.75" customHeight="1">
      <c r="I258" s="46"/>
    </row>
    <row r="259" ht="15.75" customHeight="1">
      <c r="I259" s="46"/>
    </row>
    <row r="260" ht="15.75" customHeight="1">
      <c r="I260" s="46"/>
    </row>
    <row r="261" ht="15.75" customHeight="1">
      <c r="I261" s="46"/>
    </row>
    <row r="262" ht="15.75" customHeight="1">
      <c r="I262" s="46"/>
    </row>
    <row r="263" ht="15.75" customHeight="1">
      <c r="I263" s="46"/>
    </row>
    <row r="264" ht="15.75" customHeight="1">
      <c r="I264" s="46"/>
    </row>
    <row r="265" ht="15.75" customHeight="1">
      <c r="I265" s="46"/>
    </row>
    <row r="266" ht="15.75" customHeight="1">
      <c r="I266" s="46"/>
    </row>
    <row r="267" ht="15.75" customHeight="1">
      <c r="I267" s="46"/>
    </row>
    <row r="268" ht="15.75" customHeight="1">
      <c r="I268" s="46"/>
    </row>
    <row r="269" ht="15.75" customHeight="1">
      <c r="I269" s="46"/>
    </row>
    <row r="270" ht="15.75" customHeight="1">
      <c r="I270" s="46"/>
    </row>
    <row r="271" ht="15.75" customHeight="1">
      <c r="I271" s="46"/>
    </row>
    <row r="272" ht="15.75" customHeight="1">
      <c r="I272" s="46"/>
    </row>
    <row r="273" ht="15.75" customHeight="1">
      <c r="I273" s="46"/>
    </row>
    <row r="274" ht="15.75" customHeight="1">
      <c r="I274" s="46"/>
    </row>
    <row r="275" ht="15.75" customHeight="1">
      <c r="I275" s="46"/>
    </row>
    <row r="276" ht="15.75" customHeight="1">
      <c r="I276" s="46"/>
    </row>
    <row r="277" ht="15.75" customHeight="1">
      <c r="I277" s="46"/>
    </row>
    <row r="278" ht="15.75" customHeight="1">
      <c r="I278" s="46"/>
    </row>
    <row r="279" ht="15.75" customHeight="1">
      <c r="I279" s="46"/>
    </row>
    <row r="280" ht="15.75" customHeight="1">
      <c r="I280" s="46"/>
    </row>
    <row r="281" ht="15.75" customHeight="1">
      <c r="I281" s="46"/>
    </row>
    <row r="282" ht="15.75" customHeight="1">
      <c r="I282" s="46"/>
    </row>
    <row r="283" ht="15.75" customHeight="1">
      <c r="I283" s="46"/>
    </row>
    <row r="284" ht="15.75" customHeight="1">
      <c r="I284" s="46"/>
    </row>
    <row r="285" ht="15.75" customHeight="1">
      <c r="I285" s="46"/>
    </row>
    <row r="286" ht="15.75" customHeight="1">
      <c r="I286" s="46"/>
    </row>
    <row r="287" ht="15.75" customHeight="1">
      <c r="I287" s="46"/>
    </row>
    <row r="288" ht="15.75" customHeight="1">
      <c r="I288" s="46"/>
    </row>
    <row r="289" ht="15.75" customHeight="1">
      <c r="I289" s="46"/>
    </row>
    <row r="290" ht="15.75" customHeight="1">
      <c r="I290" s="46"/>
    </row>
    <row r="291" ht="15.75" customHeight="1">
      <c r="I291" s="46"/>
    </row>
    <row r="292" ht="15.75" customHeight="1">
      <c r="I292" s="46"/>
    </row>
    <row r="293" ht="15.75" customHeight="1">
      <c r="I293" s="46"/>
    </row>
    <row r="294" ht="15.75" customHeight="1">
      <c r="I294" s="46"/>
    </row>
    <row r="295" ht="15.75" customHeight="1">
      <c r="I295" s="46"/>
    </row>
    <row r="296" ht="15.75" customHeight="1">
      <c r="I296" s="46"/>
    </row>
    <row r="297" ht="15.75" customHeight="1">
      <c r="I297" s="46"/>
    </row>
    <row r="298" ht="15.75" customHeight="1">
      <c r="I298" s="46"/>
    </row>
    <row r="299" ht="15.75" customHeight="1">
      <c r="I299" s="46"/>
    </row>
    <row r="300" ht="15.75" customHeight="1">
      <c r="I300" s="46"/>
    </row>
    <row r="301" ht="15.75" customHeight="1">
      <c r="I301" s="46"/>
    </row>
    <row r="302" ht="15.75" customHeight="1">
      <c r="I302" s="46"/>
    </row>
    <row r="303" ht="15.75" customHeight="1">
      <c r="I303" s="46"/>
    </row>
    <row r="304" ht="15.75" customHeight="1">
      <c r="I304" s="46"/>
    </row>
    <row r="305" ht="15.75" customHeight="1">
      <c r="I305" s="46"/>
    </row>
    <row r="306" ht="15.75" customHeight="1">
      <c r="I306" s="46"/>
    </row>
    <row r="307" ht="15.75" customHeight="1">
      <c r="I307" s="46"/>
    </row>
    <row r="308" ht="15.75" customHeight="1">
      <c r="I308" s="46"/>
    </row>
    <row r="309" ht="15.75" customHeight="1">
      <c r="I309" s="46"/>
    </row>
    <row r="310" ht="15.75" customHeight="1">
      <c r="I310" s="46"/>
    </row>
    <row r="311" ht="15.75" customHeight="1">
      <c r="I311" s="46"/>
    </row>
    <row r="312" ht="15.75" customHeight="1">
      <c r="I312" s="46"/>
    </row>
    <row r="313" ht="15.75" customHeight="1">
      <c r="I313" s="46"/>
    </row>
    <row r="314" ht="15.75" customHeight="1">
      <c r="I314" s="46"/>
    </row>
    <row r="315" ht="15.75" customHeight="1">
      <c r="I315" s="46"/>
    </row>
    <row r="316" ht="15.75" customHeight="1">
      <c r="I316" s="46"/>
    </row>
    <row r="317" ht="15.75" customHeight="1">
      <c r="I317" s="46"/>
    </row>
    <row r="318" ht="15.75" customHeight="1">
      <c r="I318" s="46"/>
    </row>
    <row r="319" ht="15.75" customHeight="1">
      <c r="I319" s="46"/>
    </row>
    <row r="320" ht="15.75" customHeight="1">
      <c r="I320" s="46"/>
    </row>
    <row r="321" ht="15.75" customHeight="1">
      <c r="I321" s="46"/>
    </row>
    <row r="322" ht="15.75" customHeight="1">
      <c r="I322" s="46"/>
    </row>
    <row r="323" ht="15.75" customHeight="1">
      <c r="I323" s="46"/>
    </row>
    <row r="324" ht="15.75" customHeight="1">
      <c r="I324" s="46"/>
    </row>
    <row r="325" ht="15.75" customHeight="1">
      <c r="I325" s="46"/>
    </row>
    <row r="326" ht="15.75" customHeight="1">
      <c r="I326" s="46"/>
    </row>
    <row r="327" ht="15.75" customHeight="1">
      <c r="I327" s="46"/>
    </row>
    <row r="328" ht="15.75" customHeight="1">
      <c r="I328" s="46"/>
    </row>
    <row r="329" ht="15.75" customHeight="1">
      <c r="I329" s="46"/>
    </row>
    <row r="330" ht="15.75" customHeight="1">
      <c r="I330" s="46"/>
    </row>
    <row r="331" ht="15.75" customHeight="1">
      <c r="I331" s="46"/>
    </row>
    <row r="332" ht="15.75" customHeight="1">
      <c r="I332" s="46"/>
    </row>
    <row r="333" ht="15.75" customHeight="1">
      <c r="I333" s="46"/>
    </row>
    <row r="334" ht="15.75" customHeight="1">
      <c r="I334" s="46"/>
    </row>
    <row r="335" ht="15.75" customHeight="1">
      <c r="I335" s="46"/>
    </row>
    <row r="336" ht="15.75" customHeight="1">
      <c r="I336" s="46"/>
    </row>
    <row r="337" ht="15.75" customHeight="1">
      <c r="I337" s="46"/>
    </row>
    <row r="338" ht="15.75" customHeight="1">
      <c r="I338" s="46"/>
    </row>
    <row r="339" ht="15.75" customHeight="1">
      <c r="I339" s="46"/>
    </row>
    <row r="340" ht="15.75" customHeight="1">
      <c r="I340" s="46"/>
    </row>
    <row r="341" ht="15.75" customHeight="1">
      <c r="I341" s="46"/>
    </row>
    <row r="342" ht="15.75" customHeight="1">
      <c r="I342" s="46"/>
    </row>
    <row r="343" ht="15.75" customHeight="1">
      <c r="I343" s="46"/>
    </row>
    <row r="344" ht="15.75" customHeight="1">
      <c r="I344" s="46"/>
    </row>
    <row r="345" ht="15.75" customHeight="1">
      <c r="I345" s="46"/>
    </row>
    <row r="346" ht="15.75" customHeight="1">
      <c r="I346" s="46"/>
    </row>
    <row r="347" ht="15.75" customHeight="1">
      <c r="I347" s="46"/>
    </row>
    <row r="348" ht="15.75" customHeight="1">
      <c r="I348" s="46"/>
    </row>
    <row r="349" ht="15.75" customHeight="1">
      <c r="I349" s="46"/>
    </row>
    <row r="350" ht="15.75" customHeight="1">
      <c r="I350" s="46"/>
    </row>
    <row r="351" ht="15.75" customHeight="1">
      <c r="I351" s="46"/>
    </row>
    <row r="352" ht="15.75" customHeight="1">
      <c r="I352" s="46"/>
    </row>
    <row r="353" ht="15.75" customHeight="1">
      <c r="I353" s="46"/>
    </row>
    <row r="354" ht="15.75" customHeight="1">
      <c r="I354" s="46"/>
    </row>
    <row r="355" ht="15.75" customHeight="1">
      <c r="I355" s="46"/>
    </row>
    <row r="356" ht="15.75" customHeight="1">
      <c r="I356" s="46"/>
    </row>
    <row r="357" ht="15.75" customHeight="1">
      <c r="I357" s="46"/>
    </row>
    <row r="358" ht="15.75" customHeight="1">
      <c r="I358" s="46"/>
    </row>
    <row r="359" ht="15.75" customHeight="1">
      <c r="I359" s="46"/>
    </row>
    <row r="360" ht="15.75" customHeight="1">
      <c r="I360" s="46"/>
    </row>
    <row r="361" ht="15.75" customHeight="1">
      <c r="I361" s="46"/>
    </row>
    <row r="362" ht="15.75" customHeight="1">
      <c r="I362" s="46"/>
    </row>
    <row r="363" ht="15.75" customHeight="1">
      <c r="I363" s="46"/>
    </row>
    <row r="364" ht="15.75" customHeight="1">
      <c r="I364" s="46"/>
    </row>
    <row r="365" ht="15.75" customHeight="1">
      <c r="I365" s="46"/>
    </row>
    <row r="366" ht="15.75" customHeight="1">
      <c r="I366" s="46"/>
    </row>
    <row r="367" ht="15.75" customHeight="1">
      <c r="I367" s="46"/>
    </row>
    <row r="368" ht="15.75" customHeight="1">
      <c r="I368" s="46"/>
    </row>
    <row r="369" ht="15.75" customHeight="1">
      <c r="I369" s="46"/>
    </row>
    <row r="370" ht="15.75" customHeight="1">
      <c r="I370" s="46"/>
    </row>
    <row r="371" ht="15.75" customHeight="1">
      <c r="I371" s="46"/>
    </row>
    <row r="372" ht="15.75" customHeight="1">
      <c r="I372" s="46"/>
    </row>
    <row r="373" ht="15.75" customHeight="1">
      <c r="I373" s="46"/>
    </row>
    <row r="374" ht="15.75" customHeight="1">
      <c r="I374" s="46"/>
    </row>
    <row r="375" ht="15.75" customHeight="1">
      <c r="I375" s="46"/>
    </row>
    <row r="376" ht="15.75" customHeight="1">
      <c r="I376" s="46"/>
    </row>
    <row r="377" ht="15.75" customHeight="1">
      <c r="I377" s="46"/>
    </row>
    <row r="378" ht="15.75" customHeight="1">
      <c r="I378" s="46"/>
    </row>
    <row r="379" ht="15.75" customHeight="1">
      <c r="I379" s="46"/>
    </row>
    <row r="380" ht="15.75" customHeight="1">
      <c r="I380" s="46"/>
    </row>
    <row r="381" ht="15.75" customHeight="1">
      <c r="I381" s="46"/>
    </row>
    <row r="382" ht="15.75" customHeight="1">
      <c r="I382" s="46"/>
    </row>
    <row r="383" ht="15.75" customHeight="1">
      <c r="I383" s="46"/>
    </row>
    <row r="384" ht="15.75" customHeight="1">
      <c r="I384" s="46"/>
    </row>
    <row r="385" ht="15.75" customHeight="1">
      <c r="I385" s="46"/>
    </row>
    <row r="386" ht="15.75" customHeight="1">
      <c r="I386" s="46"/>
    </row>
    <row r="387" ht="15.75" customHeight="1">
      <c r="I387" s="46"/>
    </row>
    <row r="388" ht="15.75" customHeight="1">
      <c r="I388" s="46"/>
    </row>
    <row r="389" ht="15.75" customHeight="1">
      <c r="I389" s="46"/>
    </row>
    <row r="390" ht="15.75" customHeight="1">
      <c r="I390" s="46"/>
    </row>
    <row r="391" ht="15.75" customHeight="1">
      <c r="I391" s="46"/>
    </row>
    <row r="392" ht="15.75" customHeight="1">
      <c r="I392" s="46"/>
    </row>
    <row r="393" ht="15.75" customHeight="1">
      <c r="I393" s="46"/>
    </row>
    <row r="394" ht="15.75" customHeight="1">
      <c r="I394" s="46"/>
    </row>
    <row r="395" ht="15.75" customHeight="1">
      <c r="I395" s="46"/>
    </row>
    <row r="396" ht="15.75" customHeight="1">
      <c r="I396" s="46"/>
    </row>
    <row r="397" ht="15.75" customHeight="1">
      <c r="I397" s="46"/>
    </row>
    <row r="398" ht="15.75" customHeight="1">
      <c r="I398" s="46"/>
    </row>
    <row r="399" ht="15.75" customHeight="1">
      <c r="I399" s="46"/>
    </row>
    <row r="400" ht="15.75" customHeight="1">
      <c r="I400" s="46"/>
    </row>
    <row r="401" ht="15.75" customHeight="1">
      <c r="I401" s="46"/>
    </row>
    <row r="402" ht="15.75" customHeight="1">
      <c r="I402" s="46"/>
    </row>
    <row r="403" ht="15.75" customHeight="1">
      <c r="I403" s="46"/>
    </row>
    <row r="404" ht="15.75" customHeight="1">
      <c r="I404" s="46"/>
    </row>
    <row r="405" ht="15.75" customHeight="1">
      <c r="I405" s="46"/>
    </row>
    <row r="406" ht="15.75" customHeight="1">
      <c r="I406" s="46"/>
    </row>
    <row r="407" ht="15.75" customHeight="1">
      <c r="I407" s="46"/>
    </row>
    <row r="408" ht="15.75" customHeight="1">
      <c r="I408" s="46"/>
    </row>
    <row r="409" ht="15.75" customHeight="1">
      <c r="I409" s="46"/>
    </row>
    <row r="410" ht="15.75" customHeight="1">
      <c r="I410" s="46"/>
    </row>
    <row r="411" ht="15.75" customHeight="1">
      <c r="I411" s="46"/>
    </row>
    <row r="412" ht="15.75" customHeight="1">
      <c r="I412" s="46"/>
    </row>
    <row r="413" ht="15.75" customHeight="1">
      <c r="I413" s="46"/>
    </row>
    <row r="414" ht="15.75" customHeight="1">
      <c r="I414" s="46"/>
    </row>
    <row r="415" ht="15.75" customHeight="1">
      <c r="I415" s="46"/>
    </row>
    <row r="416" ht="15.75" customHeight="1">
      <c r="I416" s="46"/>
    </row>
    <row r="417" ht="15.75" customHeight="1">
      <c r="I417" s="46"/>
    </row>
    <row r="418" ht="15.75" customHeight="1">
      <c r="I418" s="46"/>
    </row>
    <row r="419" ht="15.75" customHeight="1">
      <c r="I419" s="46"/>
    </row>
    <row r="420" ht="15.75" customHeight="1">
      <c r="I420" s="46"/>
    </row>
    <row r="421" ht="15.75" customHeight="1">
      <c r="I421" s="46"/>
    </row>
    <row r="422" ht="15.75" customHeight="1">
      <c r="I422" s="46"/>
    </row>
    <row r="423" ht="15.75" customHeight="1">
      <c r="I423" s="46"/>
    </row>
    <row r="424" ht="15.75" customHeight="1">
      <c r="I424" s="46"/>
    </row>
    <row r="425" ht="15.75" customHeight="1">
      <c r="I425" s="46"/>
    </row>
    <row r="426" ht="15.75" customHeight="1">
      <c r="I426" s="46"/>
    </row>
    <row r="427" ht="15.75" customHeight="1">
      <c r="I427" s="46"/>
    </row>
    <row r="428" ht="15.75" customHeight="1">
      <c r="I428" s="46"/>
    </row>
    <row r="429" ht="15.75" customHeight="1">
      <c r="I429" s="46"/>
    </row>
    <row r="430" ht="15.75" customHeight="1">
      <c r="I430" s="46"/>
    </row>
    <row r="431" ht="15.75" customHeight="1">
      <c r="I431" s="46"/>
    </row>
    <row r="432" ht="15.75" customHeight="1">
      <c r="I432" s="46"/>
    </row>
    <row r="433" ht="15.75" customHeight="1">
      <c r="I433" s="46"/>
    </row>
    <row r="434" ht="15.75" customHeight="1">
      <c r="I434" s="46"/>
    </row>
    <row r="435" ht="15.75" customHeight="1">
      <c r="I435" s="46"/>
    </row>
    <row r="436" ht="15.75" customHeight="1">
      <c r="I436" s="46"/>
    </row>
    <row r="437" ht="15.75" customHeight="1">
      <c r="I437" s="46"/>
    </row>
    <row r="438" ht="15.75" customHeight="1">
      <c r="I438" s="46"/>
    </row>
    <row r="439" ht="15.75" customHeight="1">
      <c r="I439" s="46"/>
    </row>
    <row r="440" ht="15.75" customHeight="1">
      <c r="I440" s="46"/>
    </row>
    <row r="441" ht="15.75" customHeight="1">
      <c r="I441" s="46"/>
    </row>
    <row r="442" ht="15.75" customHeight="1">
      <c r="I442" s="46"/>
    </row>
    <row r="443" ht="15.75" customHeight="1">
      <c r="I443" s="46"/>
    </row>
    <row r="444" ht="15.75" customHeight="1">
      <c r="I444" s="46"/>
    </row>
    <row r="445" ht="15.75" customHeight="1">
      <c r="I445" s="46"/>
    </row>
    <row r="446" ht="15.75" customHeight="1">
      <c r="I446" s="46"/>
    </row>
    <row r="447" ht="15.75" customHeight="1">
      <c r="I447" s="46"/>
    </row>
    <row r="448" ht="15.75" customHeight="1">
      <c r="I448" s="46"/>
    </row>
    <row r="449" ht="15.75" customHeight="1">
      <c r="I449" s="46"/>
    </row>
    <row r="450" ht="15.75" customHeight="1">
      <c r="I450" s="46"/>
    </row>
    <row r="451" ht="15.75" customHeight="1">
      <c r="I451" s="46"/>
    </row>
    <row r="452" ht="15.75" customHeight="1">
      <c r="I452" s="46"/>
    </row>
    <row r="453" ht="15.75" customHeight="1">
      <c r="I453" s="46"/>
    </row>
    <row r="454" ht="15.75" customHeight="1">
      <c r="I454" s="46"/>
    </row>
    <row r="455" ht="15.75" customHeight="1">
      <c r="I455" s="46"/>
    </row>
    <row r="456" ht="15.75" customHeight="1">
      <c r="I456" s="46"/>
    </row>
    <row r="457" ht="15.75" customHeight="1">
      <c r="I457" s="46"/>
    </row>
    <row r="458" ht="15.75" customHeight="1">
      <c r="I458" s="46"/>
    </row>
    <row r="459" ht="15.75" customHeight="1">
      <c r="I459" s="46"/>
    </row>
    <row r="460" ht="15.75" customHeight="1">
      <c r="I460" s="46"/>
    </row>
    <row r="461" ht="15.75" customHeight="1">
      <c r="I461" s="46"/>
    </row>
    <row r="462" ht="15.75" customHeight="1">
      <c r="I462" s="46"/>
    </row>
    <row r="463" ht="15.75" customHeight="1">
      <c r="I463" s="46"/>
    </row>
    <row r="464" ht="15.75" customHeight="1">
      <c r="I464" s="46"/>
    </row>
    <row r="465" ht="15.75" customHeight="1">
      <c r="I465" s="46"/>
    </row>
    <row r="466" ht="15.75" customHeight="1">
      <c r="I466" s="46"/>
    </row>
    <row r="467" ht="15.75" customHeight="1">
      <c r="I467" s="46"/>
    </row>
    <row r="468" ht="15.75" customHeight="1">
      <c r="I468" s="46"/>
    </row>
    <row r="469" ht="15.75" customHeight="1">
      <c r="I469" s="46"/>
    </row>
    <row r="470" ht="15.75" customHeight="1">
      <c r="I470" s="46"/>
    </row>
    <row r="471" ht="15.75" customHeight="1">
      <c r="I471" s="46"/>
    </row>
    <row r="472" ht="15.75" customHeight="1">
      <c r="I472" s="46"/>
    </row>
    <row r="473" ht="15.75" customHeight="1">
      <c r="I473" s="46"/>
    </row>
    <row r="474" ht="15.75" customHeight="1">
      <c r="I474" s="46"/>
    </row>
    <row r="475" ht="15.75" customHeight="1">
      <c r="I475" s="46"/>
    </row>
    <row r="476" ht="15.75" customHeight="1">
      <c r="I476" s="46"/>
    </row>
    <row r="477" ht="15.75" customHeight="1">
      <c r="I477" s="46"/>
    </row>
    <row r="478" ht="15.75" customHeight="1">
      <c r="I478" s="46"/>
    </row>
    <row r="479" ht="15.75" customHeight="1">
      <c r="I479" s="46"/>
    </row>
    <row r="480" ht="15.75" customHeight="1">
      <c r="I480" s="46"/>
    </row>
    <row r="481" ht="15.75" customHeight="1">
      <c r="I481" s="46"/>
    </row>
    <row r="482" ht="15.75" customHeight="1">
      <c r="I482" s="46"/>
    </row>
    <row r="483" ht="15.75" customHeight="1">
      <c r="I483" s="46"/>
    </row>
    <row r="484" ht="15.75" customHeight="1">
      <c r="I484" s="46"/>
    </row>
    <row r="485" ht="15.75" customHeight="1">
      <c r="I485" s="46"/>
    </row>
    <row r="486" ht="15.75" customHeight="1">
      <c r="I486" s="46"/>
    </row>
    <row r="487" ht="15.75" customHeight="1">
      <c r="I487" s="46"/>
    </row>
    <row r="488" ht="15.75" customHeight="1">
      <c r="I488" s="46"/>
    </row>
    <row r="489" ht="15.75" customHeight="1">
      <c r="I489" s="46"/>
    </row>
    <row r="490" ht="15.75" customHeight="1">
      <c r="I490" s="46"/>
    </row>
    <row r="491" ht="15.75" customHeight="1">
      <c r="I491" s="46"/>
    </row>
    <row r="492" ht="15.75" customHeight="1">
      <c r="I492" s="46"/>
    </row>
    <row r="493" ht="15.75" customHeight="1">
      <c r="I493" s="46"/>
    </row>
    <row r="494" ht="15.75" customHeight="1">
      <c r="I494" s="46"/>
    </row>
    <row r="495" ht="15.75" customHeight="1">
      <c r="I495" s="46"/>
    </row>
    <row r="496" ht="15.75" customHeight="1">
      <c r="I496" s="46"/>
    </row>
    <row r="497" ht="15.75" customHeight="1">
      <c r="I497" s="46"/>
    </row>
    <row r="498" ht="15.75" customHeight="1">
      <c r="I498" s="46"/>
    </row>
    <row r="499" ht="15.75" customHeight="1">
      <c r="I499" s="46"/>
    </row>
    <row r="500" ht="15.75" customHeight="1">
      <c r="I500" s="46"/>
    </row>
    <row r="501" ht="15.75" customHeight="1">
      <c r="I501" s="46"/>
    </row>
    <row r="502" ht="15.75" customHeight="1">
      <c r="I502" s="46"/>
    </row>
    <row r="503" ht="15.75" customHeight="1">
      <c r="I503" s="46"/>
    </row>
    <row r="504" ht="15.75" customHeight="1">
      <c r="I504" s="46"/>
    </row>
    <row r="505" ht="15.75" customHeight="1">
      <c r="I505" s="46"/>
    </row>
    <row r="506" ht="15.75" customHeight="1">
      <c r="I506" s="46"/>
    </row>
    <row r="507" ht="15.75" customHeight="1">
      <c r="I507" s="46"/>
    </row>
    <row r="508" ht="15.75" customHeight="1">
      <c r="I508" s="46"/>
    </row>
    <row r="509" ht="15.75" customHeight="1">
      <c r="I509" s="46"/>
    </row>
    <row r="510" ht="15.75" customHeight="1">
      <c r="I510" s="46"/>
    </row>
    <row r="511" ht="15.75" customHeight="1">
      <c r="I511" s="46"/>
    </row>
    <row r="512" ht="15.75" customHeight="1">
      <c r="I512" s="46"/>
    </row>
    <row r="513" ht="15.75" customHeight="1">
      <c r="I513" s="46"/>
    </row>
    <row r="514" ht="15.75" customHeight="1">
      <c r="I514" s="46"/>
    </row>
    <row r="515" ht="15.75" customHeight="1">
      <c r="I515" s="46"/>
    </row>
    <row r="516" ht="15.75" customHeight="1">
      <c r="I516" s="46"/>
    </row>
    <row r="517" ht="15.75" customHeight="1">
      <c r="I517" s="46"/>
    </row>
    <row r="518" ht="15.75" customHeight="1">
      <c r="I518" s="46"/>
    </row>
    <row r="519" ht="15.75" customHeight="1">
      <c r="I519" s="46"/>
    </row>
    <row r="520" ht="15.75" customHeight="1">
      <c r="I520" s="46"/>
    </row>
    <row r="521" ht="15.75" customHeight="1">
      <c r="I521" s="46"/>
    </row>
    <row r="522" ht="15.75" customHeight="1">
      <c r="I522" s="46"/>
    </row>
    <row r="523" ht="15.75" customHeight="1">
      <c r="I523" s="46"/>
    </row>
    <row r="524" ht="15.75" customHeight="1">
      <c r="I524" s="46"/>
    </row>
    <row r="525" ht="15.75" customHeight="1">
      <c r="I525" s="46"/>
    </row>
    <row r="526" ht="15.75" customHeight="1">
      <c r="I526" s="46"/>
    </row>
    <row r="527" ht="15.75" customHeight="1">
      <c r="I527" s="46"/>
    </row>
    <row r="528" ht="15.75" customHeight="1">
      <c r="I528" s="46"/>
    </row>
    <row r="529" ht="15.75" customHeight="1">
      <c r="I529" s="46"/>
    </row>
    <row r="530" ht="15.75" customHeight="1">
      <c r="I530" s="46"/>
    </row>
    <row r="531" ht="15.75" customHeight="1">
      <c r="I531" s="46"/>
    </row>
    <row r="532" ht="15.75" customHeight="1">
      <c r="I532" s="46"/>
    </row>
    <row r="533" ht="15.75" customHeight="1">
      <c r="I533" s="46"/>
    </row>
    <row r="534" ht="15.75" customHeight="1">
      <c r="I534" s="46"/>
    </row>
    <row r="535" ht="15.75" customHeight="1">
      <c r="I535" s="46"/>
    </row>
    <row r="536" ht="15.75" customHeight="1">
      <c r="I536" s="46"/>
    </row>
    <row r="537" ht="15.75" customHeight="1">
      <c r="I537" s="46"/>
    </row>
    <row r="538" ht="15.75" customHeight="1">
      <c r="I538" s="46"/>
    </row>
    <row r="539" ht="15.75" customHeight="1">
      <c r="I539" s="46"/>
    </row>
    <row r="540" ht="15.75" customHeight="1">
      <c r="I540" s="46"/>
    </row>
    <row r="541" ht="15.75" customHeight="1">
      <c r="I541" s="46"/>
    </row>
    <row r="542" ht="15.75" customHeight="1">
      <c r="I542" s="46"/>
    </row>
    <row r="543" ht="15.75" customHeight="1">
      <c r="I543" s="46"/>
    </row>
    <row r="544" ht="15.75" customHeight="1">
      <c r="I544" s="46"/>
    </row>
    <row r="545" ht="15.75" customHeight="1">
      <c r="I545" s="46"/>
    </row>
    <row r="546" ht="15.75" customHeight="1">
      <c r="I546" s="46"/>
    </row>
    <row r="547" ht="15.75" customHeight="1">
      <c r="I547" s="46"/>
    </row>
    <row r="548" ht="15.75" customHeight="1">
      <c r="I548" s="46"/>
    </row>
    <row r="549" ht="15.75" customHeight="1">
      <c r="I549" s="46"/>
    </row>
    <row r="550" ht="15.75" customHeight="1">
      <c r="I550" s="46"/>
    </row>
    <row r="551" ht="15.75" customHeight="1">
      <c r="I551" s="46"/>
    </row>
    <row r="552" ht="15.75" customHeight="1">
      <c r="I552" s="46"/>
    </row>
    <row r="553" ht="15.75" customHeight="1">
      <c r="I553" s="46"/>
    </row>
    <row r="554" ht="15.75" customHeight="1">
      <c r="I554" s="46"/>
    </row>
    <row r="555" ht="15.75" customHeight="1">
      <c r="I555" s="46"/>
    </row>
    <row r="556" ht="15.75" customHeight="1">
      <c r="I556" s="46"/>
    </row>
    <row r="557" ht="15.75" customHeight="1">
      <c r="I557" s="46"/>
    </row>
    <row r="558" ht="15.75" customHeight="1">
      <c r="I558" s="46"/>
    </row>
    <row r="559" ht="15.75" customHeight="1">
      <c r="I559" s="46"/>
    </row>
    <row r="560" ht="15.75" customHeight="1">
      <c r="I560" s="46"/>
    </row>
    <row r="561" ht="15.75" customHeight="1">
      <c r="I561" s="46"/>
    </row>
    <row r="562" ht="15.75" customHeight="1">
      <c r="I562" s="46"/>
    </row>
    <row r="563" ht="15.75" customHeight="1">
      <c r="I563" s="46"/>
    </row>
    <row r="564" ht="15.75" customHeight="1">
      <c r="I564" s="46"/>
    </row>
    <row r="565" ht="15.75" customHeight="1">
      <c r="I565" s="46"/>
    </row>
    <row r="566" ht="15.75" customHeight="1">
      <c r="I566" s="46"/>
    </row>
    <row r="567" ht="15.75" customHeight="1">
      <c r="I567" s="46"/>
    </row>
    <row r="568" ht="15.75" customHeight="1">
      <c r="I568" s="46"/>
    </row>
    <row r="569" ht="15.75" customHeight="1">
      <c r="I569" s="46"/>
    </row>
    <row r="570" ht="15.75" customHeight="1">
      <c r="I570" s="46"/>
    </row>
    <row r="571" ht="15.75" customHeight="1">
      <c r="I571" s="46"/>
    </row>
    <row r="572" ht="15.75" customHeight="1">
      <c r="I572" s="46"/>
    </row>
    <row r="573" ht="15.75" customHeight="1">
      <c r="I573" s="46"/>
    </row>
    <row r="574" ht="15.75" customHeight="1">
      <c r="I574" s="46"/>
    </row>
    <row r="575" ht="15.75" customHeight="1">
      <c r="I575" s="46"/>
    </row>
    <row r="576" ht="15.75" customHeight="1">
      <c r="I576" s="46"/>
    </row>
    <row r="577" ht="15.75" customHeight="1">
      <c r="I577" s="46"/>
    </row>
    <row r="578" ht="15.75" customHeight="1">
      <c r="I578" s="46"/>
    </row>
    <row r="579" ht="15.75" customHeight="1">
      <c r="I579" s="46"/>
    </row>
    <row r="580" ht="15.75" customHeight="1">
      <c r="I580" s="46"/>
    </row>
    <row r="581" ht="15.75" customHeight="1">
      <c r="I581" s="46"/>
    </row>
    <row r="582" ht="15.75" customHeight="1">
      <c r="I582" s="46"/>
    </row>
    <row r="583" ht="15.75" customHeight="1">
      <c r="I583" s="46"/>
    </row>
    <row r="584" ht="15.75" customHeight="1">
      <c r="I584" s="46"/>
    </row>
    <row r="585" ht="15.75" customHeight="1">
      <c r="I585" s="46"/>
    </row>
    <row r="586" ht="15.75" customHeight="1">
      <c r="I586" s="46"/>
    </row>
    <row r="587" ht="15.75" customHeight="1">
      <c r="I587" s="46"/>
    </row>
    <row r="588" ht="15.75" customHeight="1">
      <c r="I588" s="46"/>
    </row>
    <row r="589" ht="15.75" customHeight="1">
      <c r="I589" s="46"/>
    </row>
    <row r="590" ht="15.75" customHeight="1">
      <c r="I590" s="46"/>
    </row>
    <row r="591" ht="15.75" customHeight="1">
      <c r="I591" s="46"/>
    </row>
    <row r="592" ht="15.75" customHeight="1">
      <c r="I592" s="46"/>
    </row>
    <row r="593" ht="15.75" customHeight="1">
      <c r="I593" s="46"/>
    </row>
    <row r="594" ht="15.75" customHeight="1">
      <c r="I594" s="46"/>
    </row>
    <row r="595" ht="15.75" customHeight="1">
      <c r="I595" s="46"/>
    </row>
    <row r="596" ht="15.75" customHeight="1">
      <c r="I596" s="46"/>
    </row>
    <row r="597" ht="15.75" customHeight="1">
      <c r="I597" s="46"/>
    </row>
    <row r="598" ht="15.75" customHeight="1">
      <c r="I598" s="46"/>
    </row>
    <row r="599" ht="15.75" customHeight="1">
      <c r="I599" s="46"/>
    </row>
    <row r="600" ht="15.75" customHeight="1">
      <c r="I600" s="46"/>
    </row>
    <row r="601" ht="15.75" customHeight="1">
      <c r="I601" s="46"/>
    </row>
    <row r="602" ht="15.75" customHeight="1">
      <c r="I602" s="46"/>
    </row>
    <row r="603" ht="15.75" customHeight="1">
      <c r="I603" s="46"/>
    </row>
    <row r="604" ht="15.75" customHeight="1">
      <c r="I604" s="46"/>
    </row>
    <row r="605" ht="15.75" customHeight="1">
      <c r="I605" s="46"/>
    </row>
    <row r="606" ht="15.75" customHeight="1">
      <c r="I606" s="46"/>
    </row>
    <row r="607" ht="15.75" customHeight="1">
      <c r="I607" s="46"/>
    </row>
    <row r="608" ht="15.75" customHeight="1">
      <c r="I608" s="46"/>
    </row>
    <row r="609" ht="15.75" customHeight="1">
      <c r="I609" s="46"/>
    </row>
    <row r="610" ht="15.75" customHeight="1">
      <c r="I610" s="46"/>
    </row>
    <row r="611" ht="15.75" customHeight="1">
      <c r="I611" s="46"/>
    </row>
    <row r="612" ht="15.75" customHeight="1">
      <c r="I612" s="46"/>
    </row>
    <row r="613" ht="15.75" customHeight="1">
      <c r="I613" s="46"/>
    </row>
    <row r="614" ht="15.75" customHeight="1">
      <c r="I614" s="46"/>
    </row>
    <row r="615" ht="15.75" customHeight="1">
      <c r="I615" s="46"/>
    </row>
    <row r="616" ht="15.75" customHeight="1">
      <c r="I616" s="46"/>
    </row>
    <row r="617" ht="15.75" customHeight="1">
      <c r="I617" s="46"/>
    </row>
    <row r="618" ht="15.75" customHeight="1">
      <c r="I618" s="46"/>
    </row>
    <row r="619" ht="15.75" customHeight="1">
      <c r="I619" s="46"/>
    </row>
    <row r="620" ht="15.75" customHeight="1">
      <c r="I620" s="46"/>
    </row>
    <row r="621" ht="15.75" customHeight="1">
      <c r="I621" s="46"/>
    </row>
    <row r="622" ht="15.75" customHeight="1">
      <c r="I622" s="46"/>
    </row>
    <row r="623" ht="15.75" customHeight="1">
      <c r="I623" s="46"/>
    </row>
    <row r="624" ht="15.75" customHeight="1">
      <c r="I624" s="46"/>
    </row>
    <row r="625" ht="15.75" customHeight="1">
      <c r="I625" s="46"/>
    </row>
    <row r="626" ht="15.75" customHeight="1">
      <c r="I626" s="46"/>
    </row>
    <row r="627" ht="15.75" customHeight="1">
      <c r="I627" s="46"/>
    </row>
    <row r="628" ht="15.75" customHeight="1">
      <c r="I628" s="46"/>
    </row>
    <row r="629" ht="15.75" customHeight="1">
      <c r="I629" s="46"/>
    </row>
    <row r="630" ht="15.75" customHeight="1">
      <c r="I630" s="46"/>
    </row>
    <row r="631" ht="15.75" customHeight="1">
      <c r="I631" s="46"/>
    </row>
    <row r="632" ht="15.75" customHeight="1">
      <c r="I632" s="46"/>
    </row>
    <row r="633" ht="15.75" customHeight="1">
      <c r="I633" s="46"/>
    </row>
    <row r="634" ht="15.75" customHeight="1">
      <c r="I634" s="46"/>
    </row>
    <row r="635" ht="15.75" customHeight="1">
      <c r="I635" s="46"/>
    </row>
    <row r="636" ht="15.75" customHeight="1">
      <c r="I636" s="46"/>
    </row>
    <row r="637" ht="15.75" customHeight="1">
      <c r="I637" s="46"/>
    </row>
    <row r="638" ht="15.75" customHeight="1">
      <c r="I638" s="46"/>
    </row>
    <row r="639" ht="15.75" customHeight="1">
      <c r="I639" s="46"/>
    </row>
    <row r="640" ht="15.75" customHeight="1">
      <c r="I640" s="46"/>
    </row>
    <row r="641" ht="15.75" customHeight="1">
      <c r="I641" s="46"/>
    </row>
    <row r="642" ht="15.75" customHeight="1">
      <c r="I642" s="46"/>
    </row>
    <row r="643" ht="15.75" customHeight="1">
      <c r="I643" s="46"/>
    </row>
    <row r="644" ht="15.75" customHeight="1">
      <c r="I644" s="46"/>
    </row>
    <row r="645" ht="15.75" customHeight="1">
      <c r="I645" s="46"/>
    </row>
    <row r="646" ht="15.75" customHeight="1">
      <c r="I646" s="46"/>
    </row>
    <row r="647" ht="15.75" customHeight="1">
      <c r="I647" s="46"/>
    </row>
    <row r="648" ht="15.75" customHeight="1">
      <c r="I648" s="46"/>
    </row>
    <row r="649" ht="15.75" customHeight="1">
      <c r="I649" s="46"/>
    </row>
    <row r="650" ht="15.75" customHeight="1">
      <c r="I650" s="46"/>
    </row>
    <row r="651" ht="15.75" customHeight="1">
      <c r="I651" s="46"/>
    </row>
    <row r="652" ht="15.75" customHeight="1">
      <c r="I652" s="46"/>
    </row>
    <row r="653" ht="15.75" customHeight="1">
      <c r="I653" s="46"/>
    </row>
    <row r="654" ht="15.75" customHeight="1">
      <c r="I654" s="46"/>
    </row>
    <row r="655" ht="15.75" customHeight="1">
      <c r="I655" s="46"/>
    </row>
    <row r="656" ht="15.75" customHeight="1">
      <c r="I656" s="46"/>
    </row>
    <row r="657" ht="15.75" customHeight="1">
      <c r="I657" s="46"/>
    </row>
    <row r="658" ht="15.75" customHeight="1">
      <c r="I658" s="46"/>
    </row>
    <row r="659" ht="15.75" customHeight="1">
      <c r="I659" s="46"/>
    </row>
    <row r="660" ht="15.75" customHeight="1">
      <c r="I660" s="46"/>
    </row>
    <row r="661" ht="15.75" customHeight="1">
      <c r="I661" s="46"/>
    </row>
    <row r="662" ht="15.75" customHeight="1">
      <c r="I662" s="46"/>
    </row>
    <row r="663" ht="15.75" customHeight="1">
      <c r="I663" s="46"/>
    </row>
    <row r="664" ht="15.75" customHeight="1">
      <c r="I664" s="46"/>
    </row>
    <row r="665" ht="15.75" customHeight="1">
      <c r="I665" s="46"/>
    </row>
    <row r="666" ht="15.75" customHeight="1">
      <c r="I666" s="46"/>
    </row>
    <row r="667" ht="15.75" customHeight="1">
      <c r="I667" s="46"/>
    </row>
    <row r="668" ht="15.75" customHeight="1">
      <c r="I668" s="46"/>
    </row>
    <row r="669" ht="15.75" customHeight="1">
      <c r="I669" s="46"/>
    </row>
    <row r="670" ht="15.75" customHeight="1">
      <c r="I670" s="46"/>
    </row>
    <row r="671" ht="15.75" customHeight="1">
      <c r="I671" s="46"/>
    </row>
    <row r="672" ht="15.75" customHeight="1">
      <c r="I672" s="46"/>
    </row>
    <row r="673" ht="15.75" customHeight="1">
      <c r="I673" s="46"/>
    </row>
    <row r="674" ht="15.75" customHeight="1">
      <c r="I674" s="46"/>
    </row>
    <row r="675" ht="15.75" customHeight="1">
      <c r="I675" s="46"/>
    </row>
    <row r="676" ht="15.75" customHeight="1">
      <c r="I676" s="46"/>
    </row>
    <row r="677" ht="15.75" customHeight="1">
      <c r="I677" s="46"/>
    </row>
    <row r="678" ht="15.75" customHeight="1">
      <c r="I678" s="46"/>
    </row>
    <row r="679" ht="15.75" customHeight="1">
      <c r="I679" s="46"/>
    </row>
    <row r="680" ht="15.75" customHeight="1">
      <c r="I680" s="46"/>
    </row>
    <row r="681" ht="15.75" customHeight="1">
      <c r="I681" s="46"/>
    </row>
    <row r="682" ht="15.75" customHeight="1">
      <c r="I682" s="46"/>
    </row>
    <row r="683" ht="15.75" customHeight="1">
      <c r="I683" s="46"/>
    </row>
    <row r="684" ht="15.75" customHeight="1">
      <c r="I684" s="46"/>
    </row>
    <row r="685" ht="15.75" customHeight="1">
      <c r="I685" s="46"/>
    </row>
    <row r="686" ht="15.75" customHeight="1">
      <c r="I686" s="46"/>
    </row>
    <row r="687" ht="15.75" customHeight="1">
      <c r="I687" s="46"/>
    </row>
    <row r="688" ht="15.75" customHeight="1">
      <c r="I688" s="46"/>
    </row>
    <row r="689" ht="15.75" customHeight="1">
      <c r="I689" s="46"/>
    </row>
    <row r="690" ht="15.75" customHeight="1">
      <c r="I690" s="46"/>
    </row>
    <row r="691" ht="15.75" customHeight="1">
      <c r="I691" s="46"/>
    </row>
    <row r="692" ht="15.75" customHeight="1">
      <c r="I692" s="46"/>
    </row>
    <row r="693" ht="15.75" customHeight="1">
      <c r="I693" s="46"/>
    </row>
    <row r="694" ht="15.75" customHeight="1">
      <c r="I694" s="46"/>
    </row>
    <row r="695" ht="15.75" customHeight="1">
      <c r="I695" s="46"/>
    </row>
    <row r="696" ht="15.75" customHeight="1">
      <c r="I696" s="46"/>
    </row>
    <row r="697" ht="15.75" customHeight="1">
      <c r="I697" s="46"/>
    </row>
    <row r="698" ht="15.75" customHeight="1">
      <c r="I698" s="46"/>
    </row>
    <row r="699" ht="15.75" customHeight="1">
      <c r="I699" s="46"/>
    </row>
    <row r="700" ht="15.75" customHeight="1">
      <c r="I700" s="46"/>
    </row>
    <row r="701" ht="15.75" customHeight="1">
      <c r="I701" s="46"/>
    </row>
    <row r="702" ht="15.75" customHeight="1">
      <c r="I702" s="46"/>
    </row>
    <row r="703" ht="15.75" customHeight="1">
      <c r="I703" s="46"/>
    </row>
    <row r="704" ht="15.75" customHeight="1">
      <c r="I704" s="46"/>
    </row>
    <row r="705" ht="15.75" customHeight="1">
      <c r="I705" s="46"/>
    </row>
    <row r="706" ht="15.75" customHeight="1">
      <c r="I706" s="46"/>
    </row>
    <row r="707" ht="15.75" customHeight="1">
      <c r="I707" s="46"/>
    </row>
    <row r="708" ht="15.75" customHeight="1">
      <c r="I708" s="46"/>
    </row>
    <row r="709" ht="15.75" customHeight="1">
      <c r="I709" s="46"/>
    </row>
    <row r="710" ht="15.75" customHeight="1">
      <c r="I710" s="46"/>
    </row>
    <row r="711" ht="15.75" customHeight="1">
      <c r="I711" s="46"/>
    </row>
    <row r="712" ht="15.75" customHeight="1">
      <c r="I712" s="46"/>
    </row>
    <row r="713" ht="15.75" customHeight="1">
      <c r="I713" s="46"/>
    </row>
    <row r="714" ht="15.75" customHeight="1">
      <c r="I714" s="46"/>
    </row>
    <row r="715" ht="15.75" customHeight="1">
      <c r="I715" s="46"/>
    </row>
    <row r="716" ht="15.75" customHeight="1">
      <c r="I716" s="46"/>
    </row>
    <row r="717" ht="15.75" customHeight="1">
      <c r="I717" s="46"/>
    </row>
    <row r="718" ht="15.75" customHeight="1">
      <c r="I718" s="46"/>
    </row>
    <row r="719" ht="15.75" customHeight="1">
      <c r="I719" s="46"/>
    </row>
    <row r="720" ht="15.75" customHeight="1">
      <c r="I720" s="46"/>
    </row>
    <row r="721" ht="15.75" customHeight="1">
      <c r="I721" s="46"/>
    </row>
    <row r="722" ht="15.75" customHeight="1">
      <c r="I722" s="46"/>
    </row>
    <row r="723" ht="15.75" customHeight="1">
      <c r="I723" s="46"/>
    </row>
    <row r="724" ht="15.75" customHeight="1">
      <c r="I724" s="46"/>
    </row>
    <row r="725" ht="15.75" customHeight="1">
      <c r="I725" s="46"/>
    </row>
    <row r="726" ht="15.75" customHeight="1">
      <c r="I726" s="46"/>
    </row>
    <row r="727" ht="15.75" customHeight="1">
      <c r="I727" s="46"/>
    </row>
    <row r="728" ht="15.75" customHeight="1">
      <c r="I728" s="46"/>
    </row>
    <row r="729" ht="15.75" customHeight="1">
      <c r="I729" s="46"/>
    </row>
    <row r="730" ht="15.75" customHeight="1">
      <c r="I730" s="46"/>
    </row>
    <row r="731" ht="15.75" customHeight="1">
      <c r="I731" s="46"/>
    </row>
    <row r="732" ht="15.75" customHeight="1">
      <c r="I732" s="46"/>
    </row>
    <row r="733" ht="15.75" customHeight="1">
      <c r="I733" s="46"/>
    </row>
    <row r="734" ht="15.75" customHeight="1">
      <c r="I734" s="46"/>
    </row>
    <row r="735" ht="15.75" customHeight="1">
      <c r="I735" s="46"/>
    </row>
    <row r="736" ht="15.75" customHeight="1">
      <c r="I736" s="46"/>
    </row>
    <row r="737" ht="15.75" customHeight="1">
      <c r="I737" s="46"/>
    </row>
    <row r="738" ht="15.75" customHeight="1">
      <c r="I738" s="46"/>
    </row>
    <row r="739" ht="15.75" customHeight="1">
      <c r="I739" s="46"/>
    </row>
    <row r="740" ht="15.75" customHeight="1">
      <c r="I740" s="46"/>
    </row>
    <row r="741" ht="15.75" customHeight="1">
      <c r="I741" s="46"/>
    </row>
    <row r="742" ht="15.75" customHeight="1">
      <c r="I742" s="46"/>
    </row>
    <row r="743" ht="15.75" customHeight="1">
      <c r="I743" s="46"/>
    </row>
    <row r="744" ht="15.75" customHeight="1">
      <c r="I744" s="46"/>
    </row>
    <row r="745" ht="15.75" customHeight="1">
      <c r="I745" s="46"/>
    </row>
    <row r="746" ht="15.75" customHeight="1">
      <c r="I746" s="46"/>
    </row>
    <row r="747" ht="15.75" customHeight="1">
      <c r="I747" s="46"/>
    </row>
    <row r="748" ht="15.75" customHeight="1">
      <c r="I748" s="46"/>
    </row>
    <row r="749" ht="15.75" customHeight="1">
      <c r="I749" s="46"/>
    </row>
    <row r="750" ht="15.75" customHeight="1">
      <c r="I750" s="46"/>
    </row>
    <row r="751" ht="15.75" customHeight="1">
      <c r="I751" s="46"/>
    </row>
    <row r="752" ht="15.75" customHeight="1">
      <c r="I752" s="46"/>
    </row>
    <row r="753" ht="15.75" customHeight="1">
      <c r="I753" s="46"/>
    </row>
    <row r="754" ht="15.75" customHeight="1">
      <c r="I754" s="46"/>
    </row>
    <row r="755" ht="15.75" customHeight="1">
      <c r="I755" s="46"/>
    </row>
    <row r="756" ht="15.75" customHeight="1">
      <c r="I756" s="46"/>
    </row>
    <row r="757" ht="15.75" customHeight="1">
      <c r="I757" s="46"/>
    </row>
    <row r="758" ht="15.75" customHeight="1">
      <c r="I758" s="46"/>
    </row>
    <row r="759" ht="15.75" customHeight="1">
      <c r="I759" s="46"/>
    </row>
    <row r="760" ht="15.75" customHeight="1">
      <c r="I760" s="46"/>
    </row>
    <row r="761" ht="15.75" customHeight="1">
      <c r="I761" s="46"/>
    </row>
    <row r="762" ht="15.75" customHeight="1">
      <c r="I762" s="46"/>
    </row>
    <row r="763" ht="15.75" customHeight="1">
      <c r="I763" s="46"/>
    </row>
    <row r="764" ht="15.75" customHeight="1">
      <c r="I764" s="46"/>
    </row>
    <row r="765" ht="15.75" customHeight="1">
      <c r="I765" s="46"/>
    </row>
    <row r="766" ht="15.75" customHeight="1">
      <c r="I766" s="46"/>
    </row>
    <row r="767" ht="15.75" customHeight="1">
      <c r="I767" s="46"/>
    </row>
    <row r="768" ht="15.75" customHeight="1">
      <c r="I768" s="46"/>
    </row>
    <row r="769" ht="15.75" customHeight="1">
      <c r="I769" s="46"/>
    </row>
    <row r="770" ht="15.75" customHeight="1">
      <c r="I770" s="46"/>
    </row>
    <row r="771" ht="15.75" customHeight="1">
      <c r="I771" s="46"/>
    </row>
    <row r="772" ht="15.75" customHeight="1">
      <c r="I772" s="46"/>
    </row>
    <row r="773" ht="15.75" customHeight="1">
      <c r="I773" s="46"/>
    </row>
    <row r="774" ht="15.75" customHeight="1">
      <c r="I774" s="46"/>
    </row>
    <row r="775" ht="15.75" customHeight="1">
      <c r="I775" s="46"/>
    </row>
    <row r="776" ht="15.75" customHeight="1">
      <c r="I776" s="46"/>
    </row>
    <row r="777" ht="15.75" customHeight="1">
      <c r="I777" s="46"/>
    </row>
    <row r="778" ht="15.75" customHeight="1">
      <c r="I778" s="46"/>
    </row>
    <row r="779" ht="15.75" customHeight="1">
      <c r="I779" s="46"/>
    </row>
    <row r="780" ht="15.75" customHeight="1">
      <c r="I780" s="46"/>
    </row>
    <row r="781" ht="15.75" customHeight="1">
      <c r="I781" s="46"/>
    </row>
    <row r="782" ht="15.75" customHeight="1">
      <c r="I782" s="46"/>
    </row>
    <row r="783" ht="15.75" customHeight="1">
      <c r="I783" s="46"/>
    </row>
    <row r="784" ht="15.75" customHeight="1">
      <c r="I784" s="46"/>
    </row>
    <row r="785" ht="15.75" customHeight="1">
      <c r="I785" s="46"/>
    </row>
    <row r="786" ht="15.75" customHeight="1">
      <c r="I786" s="46"/>
    </row>
    <row r="787" ht="15.75" customHeight="1">
      <c r="I787" s="46"/>
    </row>
    <row r="788" ht="15.75" customHeight="1">
      <c r="I788" s="46"/>
    </row>
    <row r="789" ht="15.75" customHeight="1">
      <c r="I789" s="46"/>
    </row>
    <row r="790" ht="15.75" customHeight="1">
      <c r="I790" s="46"/>
    </row>
    <row r="791" ht="15.75" customHeight="1">
      <c r="I791" s="46"/>
    </row>
    <row r="792" ht="15.75" customHeight="1">
      <c r="I792" s="46"/>
    </row>
    <row r="793" ht="15.75" customHeight="1">
      <c r="I793" s="46"/>
    </row>
    <row r="794" ht="15.75" customHeight="1">
      <c r="I794" s="46"/>
    </row>
    <row r="795" ht="15.75" customHeight="1">
      <c r="I795" s="46"/>
    </row>
    <row r="796" ht="15.75" customHeight="1">
      <c r="I796" s="46"/>
    </row>
    <row r="797" ht="15.75" customHeight="1">
      <c r="I797" s="46"/>
    </row>
    <row r="798" ht="15.75" customHeight="1">
      <c r="I798" s="46"/>
    </row>
    <row r="799" ht="15.75" customHeight="1">
      <c r="I799" s="46"/>
    </row>
    <row r="800" ht="15.75" customHeight="1">
      <c r="I800" s="46"/>
    </row>
    <row r="801" ht="15.75" customHeight="1">
      <c r="I801" s="46"/>
    </row>
    <row r="802" ht="15.75" customHeight="1">
      <c r="I802" s="46"/>
    </row>
    <row r="803" ht="15.75" customHeight="1">
      <c r="I803" s="46"/>
    </row>
    <row r="804" ht="15.75" customHeight="1">
      <c r="I804" s="46"/>
    </row>
    <row r="805" ht="15.75" customHeight="1">
      <c r="I805" s="46"/>
    </row>
    <row r="806" ht="15.75" customHeight="1">
      <c r="I806" s="46"/>
    </row>
    <row r="807" ht="15.75" customHeight="1">
      <c r="I807" s="46"/>
    </row>
    <row r="808" ht="15.75" customHeight="1">
      <c r="I808" s="46"/>
    </row>
    <row r="809" ht="15.75" customHeight="1">
      <c r="I809" s="46"/>
    </row>
    <row r="810" ht="15.75" customHeight="1">
      <c r="I810" s="46"/>
    </row>
    <row r="811" ht="15.75" customHeight="1">
      <c r="I811" s="46"/>
    </row>
    <row r="812" ht="15.75" customHeight="1">
      <c r="I812" s="46"/>
    </row>
    <row r="813" ht="15.75" customHeight="1">
      <c r="I813" s="46"/>
    </row>
    <row r="814" ht="15.75" customHeight="1">
      <c r="I814" s="46"/>
    </row>
    <row r="815" ht="15.75" customHeight="1">
      <c r="I815" s="46"/>
    </row>
    <row r="816" ht="15.75" customHeight="1">
      <c r="I816" s="46"/>
    </row>
    <row r="817" ht="15.75" customHeight="1">
      <c r="I817" s="46"/>
    </row>
    <row r="818" ht="15.75" customHeight="1">
      <c r="I818" s="46"/>
    </row>
    <row r="819" ht="15.75" customHeight="1">
      <c r="I819" s="46"/>
    </row>
    <row r="820" ht="15.75" customHeight="1">
      <c r="I820" s="46"/>
    </row>
    <row r="821" ht="15.75" customHeight="1">
      <c r="I821" s="46"/>
    </row>
    <row r="822" ht="15.75" customHeight="1">
      <c r="I822" s="46"/>
    </row>
    <row r="823" ht="15.75" customHeight="1">
      <c r="I823" s="46"/>
    </row>
    <row r="824" ht="15.75" customHeight="1">
      <c r="I824" s="46"/>
    </row>
    <row r="825" ht="15.75" customHeight="1">
      <c r="I825" s="46"/>
    </row>
    <row r="826" ht="15.75" customHeight="1">
      <c r="I826" s="46"/>
    </row>
    <row r="827" ht="15.75" customHeight="1">
      <c r="I827" s="46"/>
    </row>
    <row r="828" ht="15.75" customHeight="1">
      <c r="I828" s="46"/>
    </row>
    <row r="829" ht="15.75" customHeight="1">
      <c r="I829" s="46"/>
    </row>
    <row r="830" ht="15.75" customHeight="1">
      <c r="I830" s="46"/>
    </row>
    <row r="831" ht="15.75" customHeight="1">
      <c r="I831" s="46"/>
    </row>
    <row r="832" ht="15.75" customHeight="1">
      <c r="I832" s="46"/>
    </row>
    <row r="833" ht="15.75" customHeight="1">
      <c r="I833" s="46"/>
    </row>
    <row r="834" ht="15.75" customHeight="1">
      <c r="I834" s="46"/>
    </row>
    <row r="835" ht="15.75" customHeight="1">
      <c r="I835" s="46"/>
    </row>
    <row r="836" ht="15.75" customHeight="1">
      <c r="I836" s="46"/>
    </row>
    <row r="837" ht="15.75" customHeight="1">
      <c r="I837" s="46"/>
    </row>
    <row r="838" ht="15.75" customHeight="1">
      <c r="I838" s="46"/>
    </row>
    <row r="839" ht="15.75" customHeight="1">
      <c r="I839" s="46"/>
    </row>
    <row r="840" ht="15.75" customHeight="1">
      <c r="I840" s="46"/>
    </row>
    <row r="841" ht="15.75" customHeight="1">
      <c r="I841" s="46"/>
    </row>
    <row r="842" ht="15.75" customHeight="1">
      <c r="I842" s="46"/>
    </row>
    <row r="843" ht="15.75" customHeight="1">
      <c r="I843" s="46"/>
    </row>
    <row r="844" ht="15.75" customHeight="1">
      <c r="I844" s="46"/>
    </row>
    <row r="845" ht="15.75" customHeight="1">
      <c r="I845" s="46"/>
    </row>
    <row r="846" ht="15.75" customHeight="1">
      <c r="I846" s="46"/>
    </row>
    <row r="847" ht="15.75" customHeight="1">
      <c r="I847" s="46"/>
    </row>
    <row r="848" ht="15.75" customHeight="1">
      <c r="I848" s="46"/>
    </row>
    <row r="849" ht="15.75" customHeight="1">
      <c r="I849" s="46"/>
    </row>
    <row r="850" ht="15.75" customHeight="1">
      <c r="I850" s="46"/>
    </row>
    <row r="851" ht="15.75" customHeight="1">
      <c r="I851" s="46"/>
    </row>
    <row r="852" ht="15.75" customHeight="1">
      <c r="I852" s="46"/>
    </row>
    <row r="853" ht="15.75" customHeight="1">
      <c r="I853" s="46"/>
    </row>
    <row r="854" ht="15.75" customHeight="1">
      <c r="I854" s="46"/>
    </row>
    <row r="855" ht="15.75" customHeight="1">
      <c r="I855" s="46"/>
    </row>
    <row r="856" ht="15.75" customHeight="1">
      <c r="I856" s="46"/>
    </row>
    <row r="857" ht="15.75" customHeight="1">
      <c r="I857" s="46"/>
    </row>
    <row r="858" ht="15.75" customHeight="1">
      <c r="I858" s="46"/>
    </row>
    <row r="859" ht="15.75" customHeight="1">
      <c r="I859" s="46"/>
    </row>
    <row r="860" ht="15.75" customHeight="1">
      <c r="I860" s="46"/>
    </row>
    <row r="861" ht="15.75" customHeight="1">
      <c r="I861" s="46"/>
    </row>
    <row r="862" ht="15.75" customHeight="1">
      <c r="I862" s="46"/>
    </row>
    <row r="863" ht="15.75" customHeight="1">
      <c r="I863" s="46"/>
    </row>
    <row r="864" ht="15.75" customHeight="1">
      <c r="I864" s="46"/>
    </row>
    <row r="865" ht="15.75" customHeight="1">
      <c r="I865" s="46"/>
    </row>
    <row r="866" ht="15.75" customHeight="1">
      <c r="I866" s="46"/>
    </row>
    <row r="867" ht="15.75" customHeight="1">
      <c r="I867" s="46"/>
    </row>
    <row r="868" ht="15.75" customHeight="1">
      <c r="I868" s="46"/>
    </row>
    <row r="869" ht="15.75" customHeight="1">
      <c r="I869" s="46"/>
    </row>
    <row r="870" ht="15.75" customHeight="1">
      <c r="I870" s="46"/>
    </row>
    <row r="871" ht="15.75" customHeight="1">
      <c r="I871" s="46"/>
    </row>
    <row r="872" ht="15.75" customHeight="1">
      <c r="I872" s="46"/>
    </row>
    <row r="873" ht="15.75" customHeight="1">
      <c r="I873" s="46"/>
    </row>
    <row r="874" ht="15.75" customHeight="1">
      <c r="I874" s="46"/>
    </row>
    <row r="875" ht="15.75" customHeight="1">
      <c r="I875" s="46"/>
    </row>
    <row r="876" ht="15.75" customHeight="1">
      <c r="I876" s="46"/>
    </row>
    <row r="877" ht="15.75" customHeight="1">
      <c r="I877" s="46"/>
    </row>
    <row r="878" ht="15.75" customHeight="1">
      <c r="I878" s="46"/>
    </row>
    <row r="879" ht="15.75" customHeight="1">
      <c r="I879" s="46"/>
    </row>
    <row r="880" ht="15.75" customHeight="1">
      <c r="I880" s="46"/>
    </row>
    <row r="881" ht="15.75" customHeight="1">
      <c r="I881" s="46"/>
    </row>
    <row r="882" ht="15.75" customHeight="1">
      <c r="I882" s="46"/>
    </row>
    <row r="883" ht="15.75" customHeight="1">
      <c r="I883" s="46"/>
    </row>
    <row r="884" ht="15.75" customHeight="1">
      <c r="I884" s="46"/>
    </row>
    <row r="885" ht="15.75" customHeight="1">
      <c r="I885" s="46"/>
    </row>
    <row r="886" ht="15.75" customHeight="1">
      <c r="I886" s="46"/>
    </row>
    <row r="887" ht="15.75" customHeight="1">
      <c r="I887" s="46"/>
    </row>
    <row r="888" ht="15.75" customHeight="1">
      <c r="I888" s="46"/>
    </row>
    <row r="889" ht="15.75" customHeight="1">
      <c r="I889" s="46"/>
    </row>
    <row r="890" ht="15.75" customHeight="1">
      <c r="I890" s="46"/>
    </row>
    <row r="891" ht="15.75" customHeight="1">
      <c r="I891" s="46"/>
    </row>
    <row r="892" ht="15.75" customHeight="1">
      <c r="I892" s="46"/>
    </row>
    <row r="893" ht="15.75" customHeight="1">
      <c r="I893" s="46"/>
    </row>
    <row r="894" ht="15.75" customHeight="1">
      <c r="I894" s="46"/>
    </row>
    <row r="895" ht="15.75" customHeight="1">
      <c r="I895" s="46"/>
    </row>
    <row r="896" ht="15.75" customHeight="1">
      <c r="I896" s="46"/>
    </row>
    <row r="897" ht="15.75" customHeight="1">
      <c r="I897" s="46"/>
    </row>
    <row r="898" ht="15.75" customHeight="1">
      <c r="I898" s="46"/>
    </row>
    <row r="899" ht="15.75" customHeight="1">
      <c r="I899" s="46"/>
    </row>
    <row r="900" ht="15.75" customHeight="1">
      <c r="I900" s="46"/>
    </row>
    <row r="901" ht="15.75" customHeight="1">
      <c r="I901" s="46"/>
    </row>
    <row r="902" ht="15.75" customHeight="1">
      <c r="I902" s="46"/>
    </row>
    <row r="903" ht="15.75" customHeight="1">
      <c r="I903" s="46"/>
    </row>
    <row r="904" ht="15.75" customHeight="1">
      <c r="I904" s="46"/>
    </row>
    <row r="905" ht="15.75" customHeight="1">
      <c r="I905" s="46"/>
    </row>
    <row r="906" ht="15.75" customHeight="1">
      <c r="I906" s="46"/>
    </row>
    <row r="907" ht="15.75" customHeight="1">
      <c r="I907" s="46"/>
    </row>
    <row r="908" ht="15.75" customHeight="1">
      <c r="I908" s="46"/>
    </row>
    <row r="909" ht="15.75" customHeight="1">
      <c r="I909" s="46"/>
    </row>
    <row r="910" ht="15.75" customHeight="1">
      <c r="I910" s="46"/>
    </row>
    <row r="911" ht="15.75" customHeight="1">
      <c r="I911" s="46"/>
    </row>
    <row r="912" ht="15.75" customHeight="1">
      <c r="I912" s="46"/>
    </row>
    <row r="913" ht="15.75" customHeight="1">
      <c r="I913" s="46"/>
    </row>
    <row r="914" ht="15.75" customHeight="1">
      <c r="I914" s="46"/>
    </row>
    <row r="915" ht="15.75" customHeight="1">
      <c r="I915" s="46"/>
    </row>
    <row r="916" ht="15.75" customHeight="1">
      <c r="I916" s="46"/>
    </row>
    <row r="917" ht="15.75" customHeight="1">
      <c r="I917" s="46"/>
    </row>
    <row r="918" ht="15.75" customHeight="1">
      <c r="I918" s="46"/>
    </row>
    <row r="919" ht="15.75" customHeight="1">
      <c r="I919" s="46"/>
    </row>
    <row r="920" ht="15.75" customHeight="1">
      <c r="I920" s="46"/>
    </row>
    <row r="921" ht="15.75" customHeight="1">
      <c r="I921" s="46"/>
    </row>
    <row r="922" ht="15.75" customHeight="1">
      <c r="I922" s="46"/>
    </row>
    <row r="923" ht="15.75" customHeight="1">
      <c r="I923" s="46"/>
    </row>
    <row r="924" ht="15.75" customHeight="1">
      <c r="I924" s="46"/>
    </row>
    <row r="925" ht="15.75" customHeight="1">
      <c r="I925" s="46"/>
    </row>
    <row r="926" ht="15.75" customHeight="1">
      <c r="I926" s="46"/>
    </row>
    <row r="927" ht="15.75" customHeight="1">
      <c r="I927" s="46"/>
    </row>
    <row r="928" ht="15.75" customHeight="1">
      <c r="I928" s="46"/>
    </row>
    <row r="929" ht="15.75" customHeight="1">
      <c r="I929" s="46"/>
    </row>
    <row r="930" ht="15.75" customHeight="1">
      <c r="I930" s="46"/>
    </row>
    <row r="931" ht="15.75" customHeight="1">
      <c r="I931" s="46"/>
    </row>
    <row r="932" ht="15.75" customHeight="1">
      <c r="I932" s="46"/>
    </row>
    <row r="933" ht="15.75" customHeight="1">
      <c r="I933" s="46"/>
    </row>
    <row r="934" ht="15.75" customHeight="1">
      <c r="I934" s="46"/>
    </row>
    <row r="935" ht="15.75" customHeight="1">
      <c r="I935" s="46"/>
    </row>
    <row r="936" ht="15.75" customHeight="1">
      <c r="I936" s="46"/>
    </row>
    <row r="937" ht="15.75" customHeight="1">
      <c r="I937" s="46"/>
    </row>
    <row r="938" ht="15.75" customHeight="1">
      <c r="I938" s="46"/>
    </row>
    <row r="939" ht="15.75" customHeight="1">
      <c r="I939" s="46"/>
    </row>
    <row r="940" ht="15.75" customHeight="1">
      <c r="I940" s="46"/>
    </row>
    <row r="941" ht="15.75" customHeight="1">
      <c r="I941" s="46"/>
    </row>
    <row r="942" ht="15.75" customHeight="1">
      <c r="I942" s="46"/>
    </row>
    <row r="943" ht="15.75" customHeight="1">
      <c r="I943" s="46"/>
    </row>
    <row r="944" ht="15.75" customHeight="1">
      <c r="I944" s="46"/>
    </row>
    <row r="945" ht="15.75" customHeight="1">
      <c r="I945" s="46"/>
    </row>
    <row r="946" ht="15.75" customHeight="1">
      <c r="I946" s="46"/>
    </row>
    <row r="947" ht="15.75" customHeight="1">
      <c r="I947" s="46"/>
    </row>
    <row r="948" ht="15.75" customHeight="1">
      <c r="I948" s="46"/>
    </row>
    <row r="949" ht="15.75" customHeight="1">
      <c r="I949" s="46"/>
    </row>
    <row r="950" ht="15.75" customHeight="1">
      <c r="I950" s="46"/>
    </row>
    <row r="951" ht="15.75" customHeight="1">
      <c r="I951" s="46"/>
    </row>
    <row r="952" ht="15.75" customHeight="1">
      <c r="I952" s="46"/>
    </row>
    <row r="953" ht="15.75" customHeight="1">
      <c r="I953" s="46"/>
    </row>
    <row r="954" ht="15.75" customHeight="1">
      <c r="I954" s="46"/>
    </row>
    <row r="955" ht="15.75" customHeight="1">
      <c r="I955" s="46"/>
    </row>
    <row r="956" ht="15.75" customHeight="1">
      <c r="I956" s="46"/>
    </row>
    <row r="957" ht="15.75" customHeight="1">
      <c r="I957" s="46"/>
    </row>
    <row r="958" ht="15.75" customHeight="1">
      <c r="I958" s="46"/>
    </row>
    <row r="959" ht="15.75" customHeight="1">
      <c r="I959" s="46"/>
    </row>
    <row r="960" ht="15.75" customHeight="1">
      <c r="I960" s="46"/>
    </row>
    <row r="961" ht="15.75" customHeight="1">
      <c r="I961" s="46"/>
    </row>
    <row r="962" ht="15.75" customHeight="1">
      <c r="I962" s="46"/>
    </row>
    <row r="963" ht="15.75" customHeight="1">
      <c r="I963" s="46"/>
    </row>
    <row r="964" ht="15.75" customHeight="1">
      <c r="I964" s="46"/>
    </row>
    <row r="965" ht="15.75" customHeight="1">
      <c r="I965" s="46"/>
    </row>
    <row r="966" ht="15.75" customHeight="1">
      <c r="I966" s="46"/>
    </row>
    <row r="967" ht="15.75" customHeight="1">
      <c r="I967" s="46"/>
    </row>
    <row r="968" ht="15.75" customHeight="1">
      <c r="I968" s="46"/>
    </row>
    <row r="969" ht="15.75" customHeight="1">
      <c r="I969" s="46"/>
    </row>
    <row r="970" ht="15.75" customHeight="1">
      <c r="I970" s="46"/>
    </row>
    <row r="971" ht="15.75" customHeight="1">
      <c r="I971" s="46"/>
    </row>
    <row r="972" ht="15.75" customHeight="1">
      <c r="I972" s="46"/>
    </row>
    <row r="973" ht="15.75" customHeight="1">
      <c r="I973" s="46"/>
    </row>
    <row r="974" ht="15.75" customHeight="1">
      <c r="I974" s="46"/>
    </row>
    <row r="975" ht="15.75" customHeight="1">
      <c r="I975" s="46"/>
    </row>
    <row r="976" ht="15.75" customHeight="1">
      <c r="I976" s="46"/>
    </row>
    <row r="977" ht="15.75" customHeight="1">
      <c r="I977" s="46"/>
    </row>
    <row r="978" ht="15.75" customHeight="1">
      <c r="I978" s="46"/>
    </row>
    <row r="979" ht="15.75" customHeight="1">
      <c r="I979" s="46"/>
    </row>
    <row r="980" ht="15.75" customHeight="1">
      <c r="I980" s="46"/>
    </row>
    <row r="981" ht="15.75" customHeight="1">
      <c r="I981" s="46"/>
    </row>
    <row r="982" ht="15.75" customHeight="1">
      <c r="I982" s="46"/>
    </row>
    <row r="983" ht="15.75" customHeight="1">
      <c r="I983" s="46"/>
    </row>
    <row r="984" ht="15.75" customHeight="1">
      <c r="I984" s="46"/>
    </row>
    <row r="985" ht="15.75" customHeight="1">
      <c r="I985" s="46"/>
    </row>
    <row r="986" ht="15.75" customHeight="1">
      <c r="I986" s="46"/>
    </row>
    <row r="987" ht="15.75" customHeight="1">
      <c r="I987" s="46"/>
    </row>
    <row r="988" ht="15.75" customHeight="1">
      <c r="I988" s="46"/>
    </row>
    <row r="989" ht="15.75" customHeight="1">
      <c r="I989" s="46"/>
    </row>
    <row r="990" ht="15.75" customHeight="1">
      <c r="I990" s="46"/>
    </row>
    <row r="991" ht="15.75" customHeight="1">
      <c r="I991" s="46"/>
    </row>
    <row r="992" ht="15.75" customHeight="1">
      <c r="I992" s="46"/>
    </row>
    <row r="993" ht="15.75" customHeight="1">
      <c r="I993" s="46"/>
    </row>
    <row r="994" ht="15.75" customHeight="1">
      <c r="I994" s="46"/>
    </row>
    <row r="995" ht="15.75" customHeight="1">
      <c r="I995" s="46"/>
    </row>
    <row r="996" ht="15.75" customHeight="1">
      <c r="I996" s="46"/>
    </row>
    <row r="997" ht="15.75" customHeight="1">
      <c r="I997" s="46"/>
    </row>
    <row r="998" ht="15.75" customHeight="1">
      <c r="I998" s="46"/>
    </row>
    <row r="999" ht="15.75" customHeight="1">
      <c r="I999" s="46"/>
    </row>
    <row r="1000" ht="15.75" customHeight="1">
      <c r="I1000" s="46"/>
    </row>
    <row r="1001" ht="15.75" customHeight="1">
      <c r="I1001" s="46"/>
    </row>
    <row r="1002" ht="15.75" customHeight="1">
      <c r="I1002" s="46"/>
    </row>
    <row r="1003" ht="15.75" customHeight="1">
      <c r="I1003" s="46"/>
    </row>
    <row r="1004" ht="15.75" customHeight="1">
      <c r="I1004" s="46"/>
    </row>
    <row r="1005" ht="15.75" customHeight="1">
      <c r="I1005" s="46"/>
    </row>
    <row r="1006" ht="15.75" customHeight="1">
      <c r="I1006" s="46"/>
    </row>
    <row r="1007" ht="15.75" customHeight="1">
      <c r="I1007" s="46"/>
    </row>
  </sheetData>
  <mergeCells count="106">
    <mergeCell ref="B43:B46"/>
    <mergeCell ref="B48:B52"/>
    <mergeCell ref="B54:B57"/>
    <mergeCell ref="B59:B63"/>
    <mergeCell ref="B65:B69"/>
    <mergeCell ref="B71:B74"/>
    <mergeCell ref="B76:B79"/>
    <mergeCell ref="B81:B85"/>
    <mergeCell ref="B87:B90"/>
    <mergeCell ref="B92:B97"/>
    <mergeCell ref="B99:B101"/>
    <mergeCell ref="B103:B105"/>
    <mergeCell ref="B107:B109"/>
    <mergeCell ref="B111:B112"/>
    <mergeCell ref="B166:B169"/>
    <mergeCell ref="B171:B173"/>
    <mergeCell ref="B175:B176"/>
    <mergeCell ref="B186:B188"/>
    <mergeCell ref="B190:B191"/>
    <mergeCell ref="B114:B115"/>
    <mergeCell ref="B117:B118"/>
    <mergeCell ref="B120:B123"/>
    <mergeCell ref="B149:B151"/>
    <mergeCell ref="B155:B156"/>
    <mergeCell ref="B158:B159"/>
    <mergeCell ref="B161:B164"/>
    <mergeCell ref="H81:H85"/>
    <mergeCell ref="I81:I85"/>
    <mergeCell ref="H87:H90"/>
    <mergeCell ref="I87:I90"/>
    <mergeCell ref="H92:H97"/>
    <mergeCell ref="I92:I97"/>
    <mergeCell ref="I99:I101"/>
    <mergeCell ref="H99:H101"/>
    <mergeCell ref="H103:H105"/>
    <mergeCell ref="I103:I105"/>
    <mergeCell ref="H107:H109"/>
    <mergeCell ref="I107:I109"/>
    <mergeCell ref="H111:H112"/>
    <mergeCell ref="I111:I112"/>
    <mergeCell ref="H117:H118"/>
    <mergeCell ref="I117:I118"/>
    <mergeCell ref="H120:H123"/>
    <mergeCell ref="I120:I123"/>
    <mergeCell ref="H149:H151"/>
    <mergeCell ref="I149:I151"/>
    <mergeCell ref="I155:I156"/>
    <mergeCell ref="H171:H173"/>
    <mergeCell ref="I171:I173"/>
    <mergeCell ref="H175:H176"/>
    <mergeCell ref="I175:I176"/>
    <mergeCell ref="H186:H188"/>
    <mergeCell ref="I186:I188"/>
    <mergeCell ref="H190:H191"/>
    <mergeCell ref="I190:I191"/>
    <mergeCell ref="H155:H156"/>
    <mergeCell ref="H158:H159"/>
    <mergeCell ref="I158:I159"/>
    <mergeCell ref="H161:H164"/>
    <mergeCell ref="I161:I164"/>
    <mergeCell ref="H166:H169"/>
    <mergeCell ref="I166:I169"/>
    <mergeCell ref="B1:I1"/>
    <mergeCell ref="B3:B5"/>
    <mergeCell ref="H3:H5"/>
    <mergeCell ref="I3:I5"/>
    <mergeCell ref="B7:B10"/>
    <mergeCell ref="I7:I10"/>
    <mergeCell ref="I12:I15"/>
    <mergeCell ref="H7:H10"/>
    <mergeCell ref="H12:H15"/>
    <mergeCell ref="H17:H20"/>
    <mergeCell ref="I17:I20"/>
    <mergeCell ref="H22:H23"/>
    <mergeCell ref="I22:I23"/>
    <mergeCell ref="I25:I26"/>
    <mergeCell ref="H25:H26"/>
    <mergeCell ref="H28:H29"/>
    <mergeCell ref="I28:I29"/>
    <mergeCell ref="H31:H34"/>
    <mergeCell ref="I31:I34"/>
    <mergeCell ref="H36:H41"/>
    <mergeCell ref="I36:I41"/>
    <mergeCell ref="B12:B15"/>
    <mergeCell ref="B17:B20"/>
    <mergeCell ref="B22:B23"/>
    <mergeCell ref="B25:B26"/>
    <mergeCell ref="B28:B29"/>
    <mergeCell ref="B31:B34"/>
    <mergeCell ref="B36:B41"/>
    <mergeCell ref="H43:H46"/>
    <mergeCell ref="I43:I46"/>
    <mergeCell ref="H48:H52"/>
    <mergeCell ref="I48:I52"/>
    <mergeCell ref="H54:H57"/>
    <mergeCell ref="I54:I57"/>
    <mergeCell ref="I59:I63"/>
    <mergeCell ref="H59:H63"/>
    <mergeCell ref="H65:H69"/>
    <mergeCell ref="I65:I69"/>
    <mergeCell ref="H71:H74"/>
    <mergeCell ref="I71:I74"/>
    <mergeCell ref="H76:H79"/>
    <mergeCell ref="I76:I79"/>
    <mergeCell ref="H114:H115"/>
    <mergeCell ref="I114:I1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1.71"/>
    <col customWidth="1" min="3" max="3" width="25.29"/>
    <col customWidth="1" min="4" max="4" width="13.43"/>
    <col customWidth="1" min="5" max="5" width="10.71"/>
    <col customWidth="1" min="6" max="6" width="12.29"/>
    <col customWidth="1" min="7" max="26" width="10.71"/>
  </cols>
  <sheetData>
    <row r="1" ht="21.75" customHeight="1">
      <c r="B1" s="1" t="s">
        <v>1</v>
      </c>
      <c r="C1" s="2"/>
      <c r="D1" s="2"/>
      <c r="E1" s="2"/>
      <c r="F1" s="2"/>
      <c r="G1" s="2"/>
      <c r="H1" s="2"/>
      <c r="I1" s="3"/>
    </row>
    <row r="2">
      <c r="B2" s="4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8" t="s">
        <v>11</v>
      </c>
    </row>
    <row r="3">
      <c r="B3" s="14">
        <v>46032.0</v>
      </c>
      <c r="C3" s="15" t="s">
        <v>13</v>
      </c>
      <c r="D3" s="15">
        <v>500.0</v>
      </c>
      <c r="E3" s="12"/>
      <c r="F3" s="15">
        <v>60.0</v>
      </c>
      <c r="G3" s="17">
        <f t="shared" ref="G3:G4" si="1">+F3*D3</f>
        <v>30000</v>
      </c>
      <c r="H3" s="18">
        <f>+G3+G4</f>
        <v>46000</v>
      </c>
      <c r="I3" s="21">
        <v>179.0</v>
      </c>
    </row>
    <row r="4">
      <c r="B4" s="23"/>
      <c r="C4" s="24" t="s">
        <v>17</v>
      </c>
      <c r="D4" s="24">
        <v>200.0</v>
      </c>
      <c r="E4" s="25"/>
      <c r="F4" s="24">
        <v>80.0</v>
      </c>
      <c r="G4" s="29">
        <f t="shared" si="1"/>
        <v>16000</v>
      </c>
      <c r="H4" s="30"/>
      <c r="I4" s="31"/>
    </row>
    <row r="6">
      <c r="B6" s="34">
        <v>46033.0</v>
      </c>
      <c r="C6" s="24" t="s">
        <v>17</v>
      </c>
      <c r="D6" s="24">
        <v>300.0</v>
      </c>
      <c r="E6" s="25"/>
      <c r="F6" s="24">
        <v>80.0</v>
      </c>
      <c r="G6" s="26">
        <f>+F6*D6</f>
        <v>24000</v>
      </c>
      <c r="H6" s="26">
        <f>G6</f>
        <v>24000</v>
      </c>
      <c r="I6" s="40">
        <v>181.0</v>
      </c>
    </row>
    <row r="8">
      <c r="B8" s="14">
        <v>46040.0</v>
      </c>
      <c r="C8" s="15" t="s">
        <v>13</v>
      </c>
      <c r="D8" s="15">
        <v>500.0</v>
      </c>
      <c r="E8" s="12"/>
      <c r="F8" s="15">
        <v>60.0</v>
      </c>
      <c r="G8" s="17">
        <f t="shared" ref="G8:G10" si="2">+F8*D8</f>
        <v>30000</v>
      </c>
      <c r="H8" s="18">
        <f>+G8+G10+G9</f>
        <v>98000</v>
      </c>
      <c r="I8" s="21">
        <v>188.0</v>
      </c>
    </row>
    <row r="9" ht="15.0" customHeight="1">
      <c r="B9" s="20"/>
      <c r="C9" s="43" t="s">
        <v>25</v>
      </c>
      <c r="D9" s="43">
        <v>250.0</v>
      </c>
      <c r="E9" s="44"/>
      <c r="F9" s="43">
        <v>144.0</v>
      </c>
      <c r="G9" s="17">
        <f t="shared" si="2"/>
        <v>36000</v>
      </c>
      <c r="H9" s="27"/>
      <c r="I9" s="28"/>
    </row>
    <row r="10" ht="15.0" customHeight="1">
      <c r="B10" s="23"/>
      <c r="C10" s="24" t="s">
        <v>17</v>
      </c>
      <c r="D10" s="24">
        <v>400.0</v>
      </c>
      <c r="E10" s="25"/>
      <c r="F10" s="24">
        <v>80.0</v>
      </c>
      <c r="G10" s="29">
        <f t="shared" si="2"/>
        <v>32000</v>
      </c>
      <c r="H10" s="30"/>
      <c r="I10" s="31"/>
    </row>
    <row r="12">
      <c r="B12" s="34">
        <v>46042.0</v>
      </c>
      <c r="C12" s="24" t="s">
        <v>17</v>
      </c>
      <c r="D12" s="24">
        <v>700.0</v>
      </c>
      <c r="E12" s="25"/>
      <c r="F12" s="24">
        <v>80.0</v>
      </c>
      <c r="G12" s="26">
        <f>+F12*D12</f>
        <v>56000</v>
      </c>
      <c r="H12" s="26">
        <f>G12</f>
        <v>56000</v>
      </c>
      <c r="I12" s="40">
        <v>196.0</v>
      </c>
    </row>
    <row r="14">
      <c r="B14" s="14">
        <v>46049.0</v>
      </c>
      <c r="C14" s="15" t="s">
        <v>27</v>
      </c>
      <c r="D14" s="15">
        <v>400.0</v>
      </c>
      <c r="E14" s="12"/>
      <c r="F14" s="15">
        <v>75.0</v>
      </c>
      <c r="G14" s="17">
        <f t="shared" ref="G14:G15" si="3">+F14*D14</f>
        <v>30000</v>
      </c>
      <c r="H14" s="18">
        <f>G14+G15</f>
        <v>60000</v>
      </c>
      <c r="I14" s="21">
        <v>210.0</v>
      </c>
    </row>
    <row r="15">
      <c r="B15" s="23"/>
      <c r="C15" s="15" t="s">
        <v>31</v>
      </c>
      <c r="D15" s="24">
        <v>400.0</v>
      </c>
      <c r="E15" s="25"/>
      <c r="F15" s="24">
        <v>75.0</v>
      </c>
      <c r="G15" s="29">
        <f t="shared" si="3"/>
        <v>30000</v>
      </c>
      <c r="H15" s="30"/>
      <c r="I15" s="31"/>
    </row>
    <row r="17">
      <c r="B17" s="14">
        <v>46050.0</v>
      </c>
      <c r="C17" s="15" t="s">
        <v>27</v>
      </c>
      <c r="D17" s="15">
        <v>100.0</v>
      </c>
      <c r="E17" s="12"/>
      <c r="F17" s="15">
        <v>75.0</v>
      </c>
      <c r="G17" s="17">
        <f t="shared" ref="G17:G18" si="4">+F17*D17</f>
        <v>7500</v>
      </c>
      <c r="H17" s="18">
        <f>G17+G18</f>
        <v>15000</v>
      </c>
      <c r="I17" s="21">
        <v>213.0</v>
      </c>
    </row>
    <row r="18">
      <c r="B18" s="23"/>
      <c r="C18" s="15" t="s">
        <v>31</v>
      </c>
      <c r="D18" s="24">
        <v>100.0</v>
      </c>
      <c r="E18" s="25"/>
      <c r="F18" s="24">
        <v>75.0</v>
      </c>
      <c r="G18" s="29">
        <f t="shared" si="4"/>
        <v>7500</v>
      </c>
      <c r="H18" s="30"/>
      <c r="I18" s="31"/>
    </row>
    <row r="20">
      <c r="B20" s="14">
        <v>46057.0</v>
      </c>
      <c r="C20" s="15" t="s">
        <v>36</v>
      </c>
      <c r="D20" s="15">
        <v>500.0</v>
      </c>
      <c r="E20" s="12"/>
      <c r="F20" s="15">
        <v>60.0</v>
      </c>
      <c r="G20" s="17">
        <f t="shared" ref="G20:G23" si="5">+F20*D20</f>
        <v>30000</v>
      </c>
      <c r="H20" s="18">
        <f>+G20+G23+G22+G21</f>
        <v>102000</v>
      </c>
      <c r="I20" s="21">
        <v>225.0</v>
      </c>
    </row>
    <row r="21" ht="15.75" customHeight="1">
      <c r="B21" s="20"/>
      <c r="C21" s="15" t="s">
        <v>36</v>
      </c>
      <c r="D21" s="43">
        <v>500.0</v>
      </c>
      <c r="E21" s="44"/>
      <c r="F21" s="43">
        <v>60.0</v>
      </c>
      <c r="G21" s="17">
        <f t="shared" si="5"/>
        <v>30000</v>
      </c>
      <c r="H21" s="27"/>
      <c r="I21" s="28"/>
    </row>
    <row r="22" ht="15.75" customHeight="1">
      <c r="B22" s="20"/>
      <c r="C22" s="43" t="s">
        <v>41</v>
      </c>
      <c r="D22" s="43">
        <v>200.0</v>
      </c>
      <c r="E22" s="44"/>
      <c r="F22" s="43">
        <v>90.0</v>
      </c>
      <c r="G22" s="17">
        <f t="shared" si="5"/>
        <v>18000</v>
      </c>
      <c r="H22" s="27"/>
      <c r="I22" s="28"/>
    </row>
    <row r="23" ht="15.75" customHeight="1">
      <c r="B23" s="23"/>
      <c r="C23" s="24" t="s">
        <v>17</v>
      </c>
      <c r="D23" s="24">
        <v>300.0</v>
      </c>
      <c r="E23" s="25"/>
      <c r="F23" s="24">
        <v>80.0</v>
      </c>
      <c r="G23" s="29">
        <f t="shared" si="5"/>
        <v>24000</v>
      </c>
      <c r="H23" s="30"/>
      <c r="I23" s="31"/>
    </row>
    <row r="24" ht="15.75" customHeight="1"/>
    <row r="25" ht="15.75" customHeight="1">
      <c r="B25" s="14">
        <v>46058.0</v>
      </c>
      <c r="C25" s="43" t="s">
        <v>41</v>
      </c>
      <c r="D25" s="43">
        <v>400.0</v>
      </c>
      <c r="E25" s="44"/>
      <c r="F25" s="43">
        <v>90.0</v>
      </c>
      <c r="G25" s="17">
        <f t="shared" ref="G25:G26" si="6">+F25*D25</f>
        <v>36000</v>
      </c>
      <c r="H25" s="18">
        <f>G25+G26</f>
        <v>60000</v>
      </c>
      <c r="I25" s="21">
        <v>227.0</v>
      </c>
    </row>
    <row r="26" ht="15.75" customHeight="1">
      <c r="B26" s="23"/>
      <c r="C26" s="24" t="s">
        <v>17</v>
      </c>
      <c r="D26" s="24">
        <v>300.0</v>
      </c>
      <c r="E26" s="25"/>
      <c r="F26" s="24">
        <v>80.0</v>
      </c>
      <c r="G26" s="29">
        <f t="shared" si="6"/>
        <v>24000</v>
      </c>
      <c r="H26" s="30"/>
      <c r="I26" s="31"/>
    </row>
    <row r="27" ht="15.75" customHeight="1"/>
    <row r="28" ht="15.75" customHeight="1">
      <c r="B28" s="14">
        <v>46061.0</v>
      </c>
      <c r="C28" s="43" t="s">
        <v>41</v>
      </c>
      <c r="D28" s="43">
        <v>500.0</v>
      </c>
      <c r="E28" s="44"/>
      <c r="F28" s="43">
        <v>90.0</v>
      </c>
      <c r="G28" s="17">
        <f t="shared" ref="G28:G29" si="7">+F28*D28</f>
        <v>45000</v>
      </c>
      <c r="H28" s="18">
        <f>G28+G29</f>
        <v>85000</v>
      </c>
      <c r="I28" s="21">
        <v>227.0</v>
      </c>
    </row>
    <row r="29" ht="15.75" customHeight="1">
      <c r="B29" s="23"/>
      <c r="C29" s="24" t="s">
        <v>17</v>
      </c>
      <c r="D29" s="24">
        <v>500.0</v>
      </c>
      <c r="E29" s="25"/>
      <c r="F29" s="24">
        <v>80.0</v>
      </c>
      <c r="G29" s="29">
        <f t="shared" si="7"/>
        <v>40000</v>
      </c>
      <c r="H29" s="30"/>
      <c r="I29" s="31"/>
    </row>
    <row r="30" ht="15.75" customHeight="1"/>
    <row r="31" ht="15.75" customHeight="1">
      <c r="B31" s="14">
        <v>46064.0</v>
      </c>
      <c r="C31" s="15" t="s">
        <v>44</v>
      </c>
      <c r="D31" s="15">
        <v>400.0</v>
      </c>
      <c r="E31" s="12"/>
      <c r="F31" s="15">
        <v>75.0</v>
      </c>
      <c r="G31" s="17">
        <f t="shared" ref="G31:G35" si="8">+F31*D31</f>
        <v>30000</v>
      </c>
      <c r="H31" s="18">
        <f>+G31+G35+G34+G33+G32</f>
        <v>199500</v>
      </c>
      <c r="I31" s="21">
        <v>237.0</v>
      </c>
    </row>
    <row r="32" ht="15.75" customHeight="1">
      <c r="B32" s="20"/>
      <c r="C32" s="15" t="s">
        <v>47</v>
      </c>
      <c r="D32" s="15">
        <v>300.0</v>
      </c>
      <c r="E32" s="12"/>
      <c r="F32" s="15">
        <v>75.0</v>
      </c>
      <c r="G32" s="17">
        <f t="shared" si="8"/>
        <v>22500</v>
      </c>
      <c r="H32" s="27"/>
      <c r="I32" s="28"/>
    </row>
    <row r="33" ht="15.75" customHeight="1">
      <c r="B33" s="20"/>
      <c r="C33" s="15" t="s">
        <v>49</v>
      </c>
      <c r="D33" s="43">
        <v>300.0</v>
      </c>
      <c r="E33" s="44"/>
      <c r="F33" s="43">
        <v>50.0</v>
      </c>
      <c r="G33" s="17">
        <f t="shared" si="8"/>
        <v>15000</v>
      </c>
      <c r="H33" s="27"/>
      <c r="I33" s="28"/>
    </row>
    <row r="34" ht="15.75" customHeight="1">
      <c r="B34" s="20"/>
      <c r="C34" s="43" t="s">
        <v>41</v>
      </c>
      <c r="D34" s="43">
        <v>800.0</v>
      </c>
      <c r="E34" s="44"/>
      <c r="F34" s="43">
        <v>90.0</v>
      </c>
      <c r="G34" s="17">
        <f t="shared" si="8"/>
        <v>72000</v>
      </c>
      <c r="H34" s="27"/>
      <c r="I34" s="28"/>
    </row>
    <row r="35" ht="15.75" customHeight="1">
      <c r="B35" s="23"/>
      <c r="C35" s="24" t="s">
        <v>17</v>
      </c>
      <c r="D35" s="24">
        <v>750.0</v>
      </c>
      <c r="E35" s="25"/>
      <c r="F35" s="24">
        <v>80.0</v>
      </c>
      <c r="G35" s="29">
        <f t="shared" si="8"/>
        <v>60000</v>
      </c>
      <c r="H35" s="30"/>
      <c r="I35" s="31"/>
    </row>
    <row r="36" ht="15.75" customHeight="1"/>
    <row r="37" ht="15.75" customHeight="1">
      <c r="B37" s="14">
        <v>46068.0</v>
      </c>
      <c r="C37" s="15" t="s">
        <v>44</v>
      </c>
      <c r="D37" s="15">
        <v>200.0</v>
      </c>
      <c r="E37" s="12"/>
      <c r="F37" s="15">
        <v>75.0</v>
      </c>
      <c r="G37" s="17">
        <f t="shared" ref="G37:G41" si="9">+F37*D37</f>
        <v>15000</v>
      </c>
      <c r="H37" s="18">
        <f>+G37+G41+G40+G39+G38</f>
        <v>59000</v>
      </c>
      <c r="I37" s="21">
        <v>242.0</v>
      </c>
    </row>
    <row r="38" ht="15.75" customHeight="1">
      <c r="B38" s="20"/>
      <c r="C38" s="15" t="s">
        <v>47</v>
      </c>
      <c r="D38" s="15">
        <v>100.0</v>
      </c>
      <c r="E38" s="12"/>
      <c r="F38" s="15">
        <v>75.0</v>
      </c>
      <c r="G38" s="17">
        <f t="shared" si="9"/>
        <v>7500</v>
      </c>
      <c r="H38" s="27"/>
      <c r="I38" s="28"/>
    </row>
    <row r="39" ht="15.75" customHeight="1">
      <c r="B39" s="20"/>
      <c r="C39" s="15" t="s">
        <v>49</v>
      </c>
      <c r="D39" s="43">
        <v>250.0</v>
      </c>
      <c r="E39" s="44"/>
      <c r="F39" s="43">
        <v>50.0</v>
      </c>
      <c r="G39" s="17">
        <f t="shared" si="9"/>
        <v>12500</v>
      </c>
      <c r="H39" s="27"/>
      <c r="I39" s="28"/>
    </row>
    <row r="40" ht="15.75" customHeight="1">
      <c r="B40" s="20"/>
      <c r="C40" s="15" t="s">
        <v>36</v>
      </c>
      <c r="D40" s="43">
        <v>200.0</v>
      </c>
      <c r="E40" s="44"/>
      <c r="F40" s="43">
        <v>60.0</v>
      </c>
      <c r="G40" s="17">
        <f t="shared" si="9"/>
        <v>12000</v>
      </c>
      <c r="H40" s="27"/>
      <c r="I40" s="28"/>
    </row>
    <row r="41" ht="15.75" customHeight="1">
      <c r="B41" s="23"/>
      <c r="C41" s="15" t="s">
        <v>36</v>
      </c>
      <c r="D41" s="24">
        <v>200.0</v>
      </c>
      <c r="E41" s="25"/>
      <c r="F41" s="24">
        <v>60.0</v>
      </c>
      <c r="G41" s="29">
        <f t="shared" si="9"/>
        <v>12000</v>
      </c>
      <c r="H41" s="30"/>
      <c r="I41" s="31"/>
    </row>
    <row r="42" ht="15.75" customHeight="1"/>
    <row r="43" ht="15.75" customHeight="1">
      <c r="B43" s="14">
        <v>46070.0</v>
      </c>
      <c r="C43" s="15" t="s">
        <v>36</v>
      </c>
      <c r="D43" s="43">
        <v>400.0</v>
      </c>
      <c r="E43" s="44"/>
      <c r="F43" s="43">
        <v>60.0</v>
      </c>
      <c r="G43" s="17">
        <f t="shared" ref="G43:G44" si="10">+F43*D43</f>
        <v>24000</v>
      </c>
      <c r="H43" s="18">
        <f>G43+G44</f>
        <v>42000</v>
      </c>
      <c r="I43" s="21">
        <v>247.0</v>
      </c>
    </row>
    <row r="44" ht="15.75" customHeight="1">
      <c r="B44" s="23"/>
      <c r="C44" s="15" t="s">
        <v>36</v>
      </c>
      <c r="D44" s="24">
        <v>300.0</v>
      </c>
      <c r="E44" s="25"/>
      <c r="F44" s="24">
        <v>60.0</v>
      </c>
      <c r="G44" s="29">
        <f t="shared" si="10"/>
        <v>18000</v>
      </c>
      <c r="H44" s="30"/>
      <c r="I44" s="31"/>
    </row>
    <row r="45" ht="15.75" customHeight="1"/>
    <row r="46" ht="15.75" customHeight="1">
      <c r="B46" s="14">
        <v>46075.0</v>
      </c>
      <c r="C46" s="15" t="s">
        <v>36</v>
      </c>
      <c r="D46" s="43">
        <v>550.0</v>
      </c>
      <c r="E46" s="44"/>
      <c r="F46" s="43">
        <v>60.0</v>
      </c>
      <c r="G46" s="17">
        <f t="shared" ref="G46:G47" si="11">+F46*D46</f>
        <v>33000</v>
      </c>
      <c r="H46" s="18">
        <f>G46+G47</f>
        <v>60000</v>
      </c>
      <c r="I46" s="21">
        <v>254.0</v>
      </c>
    </row>
    <row r="47" ht="15.75" customHeight="1">
      <c r="B47" s="23"/>
      <c r="C47" s="15" t="s">
        <v>36</v>
      </c>
      <c r="D47" s="24">
        <v>450.0</v>
      </c>
      <c r="E47" s="25"/>
      <c r="F47" s="24">
        <v>60.0</v>
      </c>
      <c r="G47" s="29">
        <f t="shared" si="11"/>
        <v>27000</v>
      </c>
      <c r="H47" s="30"/>
      <c r="I47" s="31"/>
    </row>
    <row r="48" ht="15.75" customHeight="1"/>
    <row r="49" ht="15.75" customHeight="1">
      <c r="B49" s="39">
        <v>46077.0</v>
      </c>
      <c r="C49" s="15" t="s">
        <v>58</v>
      </c>
      <c r="D49" s="40">
        <v>190.0</v>
      </c>
      <c r="E49" s="22"/>
      <c r="F49" s="40">
        <v>80.0</v>
      </c>
      <c r="G49" s="17">
        <f>+F49*D49</f>
        <v>15200</v>
      </c>
      <c r="H49" s="41">
        <f>G49</f>
        <v>15200</v>
      </c>
      <c r="I49" s="42">
        <v>263.0</v>
      </c>
    </row>
    <row r="50" ht="15.75" customHeight="1"/>
    <row r="51" ht="15.75" customHeight="1">
      <c r="B51" s="39">
        <v>46117.0</v>
      </c>
      <c r="C51" s="15" t="s">
        <v>59</v>
      </c>
      <c r="D51" s="40">
        <v>1000.0</v>
      </c>
      <c r="E51" s="22"/>
      <c r="F51" s="40">
        <v>50.0</v>
      </c>
      <c r="G51" s="17">
        <f>+F51*D51</f>
        <v>50000</v>
      </c>
      <c r="H51" s="41">
        <f>G51</f>
        <v>50000</v>
      </c>
      <c r="I51" s="42">
        <v>282.0</v>
      </c>
    </row>
    <row r="52" ht="15.75" customHeight="1"/>
    <row r="53" ht="15.75" customHeight="1">
      <c r="B53" s="14">
        <v>46090.0</v>
      </c>
      <c r="C53" s="15" t="s">
        <v>49</v>
      </c>
      <c r="D53" s="43">
        <v>100.0</v>
      </c>
      <c r="E53" s="44"/>
      <c r="F53" s="43">
        <v>50.0</v>
      </c>
      <c r="G53" s="17">
        <f t="shared" ref="G53:G54" si="12">+F53*D53</f>
        <v>5000</v>
      </c>
      <c r="H53" s="18">
        <f>G53+G54</f>
        <v>13000</v>
      </c>
      <c r="I53" s="21">
        <v>287.0</v>
      </c>
    </row>
    <row r="54" ht="15.75" customHeight="1">
      <c r="B54" s="23"/>
      <c r="C54" s="15" t="s">
        <v>64</v>
      </c>
      <c r="D54" s="24">
        <v>100.0</v>
      </c>
      <c r="E54" s="25"/>
      <c r="F54" s="24">
        <v>80.0</v>
      </c>
      <c r="G54" s="29">
        <f t="shared" si="12"/>
        <v>8000</v>
      </c>
      <c r="H54" s="30"/>
      <c r="I54" s="31"/>
    </row>
    <row r="55" ht="15.75" customHeight="1"/>
    <row r="56" ht="15.75" customHeight="1">
      <c r="B56" s="14">
        <v>46091.0</v>
      </c>
      <c r="C56" s="15" t="s">
        <v>49</v>
      </c>
      <c r="D56" s="43">
        <v>420.0</v>
      </c>
      <c r="E56" s="44"/>
      <c r="F56" s="43">
        <v>50.0</v>
      </c>
      <c r="G56" s="17">
        <f t="shared" ref="G56:G57" si="13">+F56*D56</f>
        <v>21000</v>
      </c>
      <c r="H56" s="18">
        <f>G56+G57</f>
        <v>37000</v>
      </c>
      <c r="I56" s="21">
        <v>290.0</v>
      </c>
    </row>
    <row r="57" ht="15.75" customHeight="1">
      <c r="B57" s="23"/>
      <c r="C57" s="24" t="s">
        <v>68</v>
      </c>
      <c r="D57" s="24">
        <v>200.0</v>
      </c>
      <c r="E57" s="25"/>
      <c r="F57" s="24">
        <v>80.0</v>
      </c>
      <c r="G57" s="29">
        <f t="shared" si="13"/>
        <v>16000</v>
      </c>
      <c r="H57" s="30"/>
      <c r="I57" s="31"/>
    </row>
    <row r="58" ht="15.75" customHeight="1"/>
    <row r="59" ht="15.75" customHeight="1">
      <c r="B59" s="14">
        <v>46092.0</v>
      </c>
      <c r="C59" s="24" t="s">
        <v>68</v>
      </c>
      <c r="D59" s="43">
        <v>200.0</v>
      </c>
      <c r="E59" s="44"/>
      <c r="F59" s="43">
        <v>80.0</v>
      </c>
      <c r="G59" s="17">
        <f t="shared" ref="G59:G60" si="14">+F59*D59</f>
        <v>16000</v>
      </c>
      <c r="H59" s="18">
        <f>G59+G60</f>
        <v>32000</v>
      </c>
      <c r="I59" s="21">
        <v>291.0</v>
      </c>
    </row>
    <row r="60" ht="15.75" customHeight="1">
      <c r="B60" s="23"/>
      <c r="C60" s="15" t="s">
        <v>58</v>
      </c>
      <c r="D60" s="24">
        <v>200.0</v>
      </c>
      <c r="E60" s="25"/>
      <c r="F60" s="24">
        <v>80.0</v>
      </c>
      <c r="G60" s="29">
        <f t="shared" si="14"/>
        <v>16000</v>
      </c>
      <c r="H60" s="30"/>
      <c r="I60" s="31"/>
    </row>
    <row r="61" ht="15.75" customHeight="1"/>
    <row r="62" ht="15.75" customHeight="1">
      <c r="B62" s="14">
        <v>46093.0</v>
      </c>
      <c r="C62" s="24" t="s">
        <v>68</v>
      </c>
      <c r="D62" s="40">
        <v>200.0</v>
      </c>
      <c r="E62" s="22"/>
      <c r="F62" s="40">
        <v>80.0</v>
      </c>
      <c r="G62" s="17">
        <f t="shared" ref="G62:G64" si="15">+F62*D62</f>
        <v>16000</v>
      </c>
      <c r="H62" s="18">
        <f>+G62+G64+G63</f>
        <v>61000</v>
      </c>
      <c r="I62" s="21">
        <v>295.0</v>
      </c>
    </row>
    <row r="63" ht="15.75" customHeight="1">
      <c r="B63" s="20"/>
      <c r="C63" s="43" t="s">
        <v>74</v>
      </c>
      <c r="D63" s="40">
        <v>500.0</v>
      </c>
      <c r="E63" s="22"/>
      <c r="F63" s="40">
        <v>70.0</v>
      </c>
      <c r="G63" s="17">
        <f t="shared" si="15"/>
        <v>35000</v>
      </c>
      <c r="H63" s="27"/>
      <c r="I63" s="28"/>
    </row>
    <row r="64" ht="15.75" customHeight="1">
      <c r="B64" s="23"/>
      <c r="C64" s="15" t="s">
        <v>59</v>
      </c>
      <c r="D64" s="40">
        <v>200.0</v>
      </c>
      <c r="E64" s="22"/>
      <c r="F64" s="40">
        <v>50.0</v>
      </c>
      <c r="G64" s="29">
        <f t="shared" si="15"/>
        <v>10000</v>
      </c>
      <c r="H64" s="30"/>
      <c r="I64" s="31"/>
    </row>
    <row r="65" ht="15.75" customHeight="1"/>
    <row r="66" ht="15.75" customHeight="1">
      <c r="B66" s="14">
        <v>46096.0</v>
      </c>
      <c r="C66" s="15" t="s">
        <v>58</v>
      </c>
      <c r="D66" s="40">
        <v>300.0</v>
      </c>
      <c r="E66" s="22"/>
      <c r="F66" s="40">
        <v>80.0</v>
      </c>
      <c r="G66" s="17">
        <f t="shared" ref="G66:G69" si="16">+F66*D66</f>
        <v>24000</v>
      </c>
      <c r="H66" s="18">
        <f>+G66+G69+G68+G67</f>
        <v>70000</v>
      </c>
      <c r="I66" s="21">
        <v>296.0</v>
      </c>
    </row>
    <row r="67" ht="15.75" customHeight="1">
      <c r="B67" s="20"/>
      <c r="C67" s="43" t="s">
        <v>74</v>
      </c>
      <c r="D67" s="40">
        <v>300.0</v>
      </c>
      <c r="E67" s="22"/>
      <c r="F67" s="40">
        <v>70.0</v>
      </c>
      <c r="G67" s="17">
        <f t="shared" si="16"/>
        <v>21000</v>
      </c>
      <c r="H67" s="27"/>
      <c r="I67" s="28"/>
    </row>
    <row r="68" ht="15.75" customHeight="1">
      <c r="B68" s="20"/>
      <c r="C68" s="15" t="s">
        <v>59</v>
      </c>
      <c r="D68" s="40">
        <v>180.0</v>
      </c>
      <c r="E68" s="22"/>
      <c r="F68" s="40">
        <v>50.0</v>
      </c>
      <c r="G68" s="17">
        <f t="shared" si="16"/>
        <v>9000</v>
      </c>
      <c r="H68" s="27"/>
      <c r="I68" s="28"/>
    </row>
    <row r="69" ht="15.75" customHeight="1">
      <c r="B69" s="23"/>
      <c r="C69" s="24" t="s">
        <v>68</v>
      </c>
      <c r="D69" s="24">
        <v>200.0</v>
      </c>
      <c r="E69" s="25"/>
      <c r="F69" s="24">
        <v>80.0</v>
      </c>
      <c r="G69" s="29">
        <f t="shared" si="16"/>
        <v>16000</v>
      </c>
      <c r="H69" s="30"/>
      <c r="I69" s="31"/>
    </row>
    <row r="70" ht="15.75" customHeight="1"/>
    <row r="71" ht="15.75" customHeight="1">
      <c r="B71" s="14">
        <v>46097.0</v>
      </c>
      <c r="C71" s="24" t="s">
        <v>68</v>
      </c>
      <c r="D71" s="40">
        <v>200.0</v>
      </c>
      <c r="E71" s="22"/>
      <c r="F71" s="40">
        <v>80.0</v>
      </c>
      <c r="G71" s="17">
        <f t="shared" ref="G71:G73" si="17">+F71*D71</f>
        <v>16000</v>
      </c>
      <c r="H71" s="18">
        <f>+G71+G73+G72</f>
        <v>74000</v>
      </c>
      <c r="I71" s="21">
        <v>298.0</v>
      </c>
    </row>
    <row r="72" ht="15.75" customHeight="1">
      <c r="B72" s="20"/>
      <c r="C72" s="43" t="s">
        <v>74</v>
      </c>
      <c r="D72" s="40">
        <v>600.0</v>
      </c>
      <c r="E72" s="22"/>
      <c r="F72" s="40">
        <v>70.0</v>
      </c>
      <c r="G72" s="17">
        <f t="shared" si="17"/>
        <v>42000</v>
      </c>
      <c r="H72" s="27"/>
      <c r="I72" s="28"/>
    </row>
    <row r="73" ht="15.75" customHeight="1">
      <c r="B73" s="23"/>
      <c r="C73" s="15" t="s">
        <v>58</v>
      </c>
      <c r="D73" s="40">
        <v>200.0</v>
      </c>
      <c r="E73" s="22"/>
      <c r="F73" s="40">
        <v>80.0</v>
      </c>
      <c r="G73" s="29">
        <f t="shared" si="17"/>
        <v>16000</v>
      </c>
      <c r="H73" s="30"/>
      <c r="I73" s="31"/>
    </row>
    <row r="74" ht="15.75" customHeight="1"/>
    <row r="75" ht="15.75" customHeight="1">
      <c r="B75" s="14">
        <v>46098.0</v>
      </c>
      <c r="C75" s="24" t="s">
        <v>68</v>
      </c>
      <c r="D75" s="40">
        <v>300.0</v>
      </c>
      <c r="E75" s="22"/>
      <c r="F75" s="40">
        <v>80.0</v>
      </c>
      <c r="G75" s="17">
        <f t="shared" ref="G75:G77" si="18">+F75*D75</f>
        <v>24000</v>
      </c>
      <c r="H75" s="18">
        <f>+G75+G77+G76</f>
        <v>61000</v>
      </c>
      <c r="I75" s="21">
        <v>299.0</v>
      </c>
    </row>
    <row r="76" ht="15.75" customHeight="1">
      <c r="B76" s="20"/>
      <c r="C76" s="43" t="s">
        <v>74</v>
      </c>
      <c r="D76" s="40">
        <v>300.0</v>
      </c>
      <c r="E76" s="22"/>
      <c r="F76" s="40">
        <v>70.0</v>
      </c>
      <c r="G76" s="17">
        <f t="shared" si="18"/>
        <v>21000</v>
      </c>
      <c r="H76" s="27"/>
      <c r="I76" s="28"/>
    </row>
    <row r="77" ht="15.75" customHeight="1">
      <c r="B77" s="23"/>
      <c r="C77" s="15" t="s">
        <v>58</v>
      </c>
      <c r="D77" s="40">
        <v>200.0</v>
      </c>
      <c r="E77" s="22"/>
      <c r="F77" s="40">
        <v>80.0</v>
      </c>
      <c r="G77" s="29">
        <f t="shared" si="18"/>
        <v>16000</v>
      </c>
      <c r="H77" s="30"/>
      <c r="I77" s="31"/>
    </row>
    <row r="78" ht="15.75" customHeight="1"/>
    <row r="79" ht="15.75" customHeight="1">
      <c r="B79" s="51">
        <v>46099.0</v>
      </c>
      <c r="C79" s="52" t="s">
        <v>90</v>
      </c>
      <c r="D79" s="53">
        <v>300.0</v>
      </c>
      <c r="E79" s="54"/>
      <c r="F79" s="53">
        <v>70.0</v>
      </c>
      <c r="G79" s="55">
        <v>21000.0</v>
      </c>
      <c r="H79" s="56">
        <v>49000.0</v>
      </c>
      <c r="I79" s="57">
        <v>301.0</v>
      </c>
    </row>
    <row r="80" ht="15.75" customHeight="1">
      <c r="B80" s="20"/>
      <c r="C80" s="52" t="s">
        <v>92</v>
      </c>
      <c r="D80" s="53">
        <v>100.0</v>
      </c>
      <c r="E80" s="54"/>
      <c r="F80" s="53">
        <v>80.0</v>
      </c>
      <c r="G80" s="58">
        <v>8000.0</v>
      </c>
      <c r="H80" s="27"/>
      <c r="I80" s="28"/>
    </row>
    <row r="81" ht="15.75" customHeight="1">
      <c r="B81" s="23"/>
      <c r="C81" s="52" t="s">
        <v>95</v>
      </c>
      <c r="D81" s="53">
        <v>250.0</v>
      </c>
      <c r="E81" s="54"/>
      <c r="F81" s="53">
        <v>80.0</v>
      </c>
      <c r="G81" s="59">
        <v>20000.0</v>
      </c>
      <c r="H81" s="30"/>
      <c r="I81" s="31"/>
    </row>
    <row r="82" ht="15.75" customHeight="1"/>
    <row r="83" ht="15.75" customHeight="1">
      <c r="B83" s="51">
        <v>46107.0</v>
      </c>
      <c r="C83" s="53" t="s">
        <v>96</v>
      </c>
      <c r="D83" s="53">
        <v>800.0</v>
      </c>
      <c r="E83" s="54"/>
      <c r="F83" s="53">
        <v>70.0</v>
      </c>
      <c r="G83" s="60">
        <v>56000.0</v>
      </c>
      <c r="H83" s="56">
        <v>291000.0</v>
      </c>
      <c r="I83" s="57">
        <v>304.0</v>
      </c>
    </row>
    <row r="84" ht="15.75" customHeight="1">
      <c r="B84" s="20"/>
      <c r="C84" s="53" t="s">
        <v>92</v>
      </c>
      <c r="D84" s="53">
        <v>600.0</v>
      </c>
      <c r="E84" s="54"/>
      <c r="F84" s="53">
        <v>80.0</v>
      </c>
      <c r="G84" s="61">
        <v>48000.0</v>
      </c>
      <c r="H84" s="27"/>
      <c r="I84" s="28"/>
    </row>
    <row r="85" ht="15.75" customHeight="1">
      <c r="B85" s="20"/>
      <c r="C85" s="53" t="s">
        <v>97</v>
      </c>
      <c r="D85" s="53">
        <v>1700.0</v>
      </c>
      <c r="E85" s="54"/>
      <c r="F85" s="53">
        <v>80.0</v>
      </c>
      <c r="G85" s="61">
        <v>136000.0</v>
      </c>
      <c r="H85" s="27"/>
      <c r="I85" s="28"/>
    </row>
    <row r="86" ht="15.75" customHeight="1">
      <c r="B86" s="20"/>
      <c r="C86" s="53" t="s">
        <v>98</v>
      </c>
      <c r="D86" s="53" t="s">
        <v>99</v>
      </c>
      <c r="E86" s="54"/>
      <c r="F86" s="53">
        <v>50.0</v>
      </c>
      <c r="G86" s="61">
        <v>15000.0</v>
      </c>
      <c r="H86" s="27"/>
      <c r="I86" s="28"/>
    </row>
    <row r="87" ht="15.75" customHeight="1">
      <c r="B87" s="23"/>
      <c r="C87" s="53" t="s">
        <v>100</v>
      </c>
      <c r="D87" s="53">
        <v>400.0</v>
      </c>
      <c r="E87" s="54"/>
      <c r="F87" s="53">
        <v>90.0</v>
      </c>
      <c r="G87" s="62">
        <v>36000.0</v>
      </c>
      <c r="H87" s="30"/>
      <c r="I87" s="31"/>
    </row>
    <row r="88" ht="15.75" customHeight="1"/>
    <row r="89" ht="15.75" customHeight="1">
      <c r="B89" s="51">
        <v>46110.0</v>
      </c>
      <c r="C89" s="53" t="s">
        <v>102</v>
      </c>
      <c r="D89" s="53">
        <v>1000.0</v>
      </c>
      <c r="E89" s="54"/>
      <c r="F89" s="63">
        <v>80.0</v>
      </c>
      <c r="G89" s="60">
        <v>80000.0</v>
      </c>
      <c r="H89" s="56">
        <v>157400.0</v>
      </c>
      <c r="I89" s="57">
        <v>307.0</v>
      </c>
    </row>
    <row r="90" ht="15.75" customHeight="1">
      <c r="B90" s="23"/>
      <c r="C90" s="53" t="s">
        <v>103</v>
      </c>
      <c r="D90" s="53">
        <v>860.0</v>
      </c>
      <c r="E90" s="54"/>
      <c r="F90" s="63">
        <v>90.0</v>
      </c>
      <c r="G90" s="62">
        <v>77400.0</v>
      </c>
      <c r="H90" s="30"/>
      <c r="I90" s="31"/>
    </row>
    <row r="91" ht="15.75" customHeight="1"/>
    <row r="92" ht="15.75" customHeight="1">
      <c r="B92" s="64">
        <v>46113.0</v>
      </c>
      <c r="C92" s="65" t="s">
        <v>104</v>
      </c>
      <c r="D92" s="66">
        <v>200.0</v>
      </c>
      <c r="E92" s="67"/>
      <c r="F92" s="66">
        <v>65.0</v>
      </c>
      <c r="G92" s="68">
        <v>13000.0</v>
      </c>
      <c r="H92" s="69">
        <v>50000.0</v>
      </c>
      <c r="I92" s="70">
        <v>313.0</v>
      </c>
    </row>
    <row r="93" ht="15.75" customHeight="1">
      <c r="B93" s="20"/>
      <c r="C93" s="65" t="s">
        <v>105</v>
      </c>
      <c r="D93" s="65">
        <v>400.0</v>
      </c>
      <c r="E93" s="71"/>
      <c r="F93" s="65">
        <v>30.0</v>
      </c>
      <c r="G93" s="72">
        <v>12000.0</v>
      </c>
      <c r="H93" s="27"/>
      <c r="I93" s="28"/>
    </row>
    <row r="94" ht="15.75" customHeight="1">
      <c r="B94" s="20"/>
      <c r="C94" s="65" t="s">
        <v>106</v>
      </c>
      <c r="D94" s="65">
        <v>200.0</v>
      </c>
      <c r="E94" s="71"/>
      <c r="F94" s="65">
        <v>65.0</v>
      </c>
      <c r="G94" s="72">
        <v>13000.0</v>
      </c>
      <c r="H94" s="27"/>
      <c r="I94" s="28"/>
    </row>
    <row r="95" ht="15.75" customHeight="1">
      <c r="B95" s="23"/>
      <c r="C95" s="65" t="s">
        <v>105</v>
      </c>
      <c r="D95" s="73">
        <v>400.0</v>
      </c>
      <c r="E95" s="74"/>
      <c r="F95" s="73">
        <v>30.0</v>
      </c>
      <c r="G95" s="75">
        <v>12000.0</v>
      </c>
      <c r="H95" s="30"/>
      <c r="I95" s="31"/>
    </row>
    <row r="96" ht="15.75" customHeight="1"/>
    <row r="97" ht="15.75" customHeight="1">
      <c r="B97" s="76">
        <v>46117.0</v>
      </c>
      <c r="C97" s="65" t="s">
        <v>107</v>
      </c>
      <c r="D97" s="77">
        <v>800.0</v>
      </c>
      <c r="E97" s="79"/>
      <c r="F97" s="77">
        <v>80.0</v>
      </c>
      <c r="G97" s="81">
        <v>64000.0</v>
      </c>
      <c r="H97" s="81">
        <v>64000.0</v>
      </c>
      <c r="I97" s="82">
        <v>321.0</v>
      </c>
    </row>
    <row r="98" ht="15.75" customHeight="1">
      <c r="B98" s="83"/>
      <c r="C98" s="83"/>
      <c r="D98" s="83"/>
      <c r="E98" s="83"/>
      <c r="F98" s="83"/>
      <c r="G98" s="83"/>
      <c r="H98" s="83"/>
      <c r="I98" s="83"/>
    </row>
    <row r="99" ht="15.75" customHeight="1">
      <c r="B99" s="84">
        <v>46118.0</v>
      </c>
      <c r="C99" s="66" t="s">
        <v>108</v>
      </c>
      <c r="D99" s="66">
        <v>1500.0</v>
      </c>
      <c r="E99" s="67"/>
      <c r="F99" s="66">
        <v>80.0</v>
      </c>
      <c r="G99" s="68">
        <v>120000.0</v>
      </c>
      <c r="H99" s="69">
        <v>150000.0</v>
      </c>
      <c r="I99" s="70" t="s">
        <v>109</v>
      </c>
    </row>
    <row r="100" ht="15.75" customHeight="1">
      <c r="B100" s="23"/>
      <c r="C100" s="73" t="s">
        <v>110</v>
      </c>
      <c r="D100" s="73">
        <v>500.0</v>
      </c>
      <c r="E100" s="74"/>
      <c r="F100" s="73">
        <v>60.0</v>
      </c>
      <c r="G100" s="75">
        <v>30000.0</v>
      </c>
      <c r="H100" s="30"/>
      <c r="I100" s="31"/>
    </row>
    <row r="101" ht="15.75" customHeight="1">
      <c r="B101" s="83"/>
      <c r="C101" s="83"/>
      <c r="D101" s="83"/>
      <c r="E101" s="83"/>
      <c r="F101" s="83"/>
      <c r="G101" s="83"/>
      <c r="H101" s="83"/>
      <c r="I101" s="83"/>
    </row>
    <row r="102" ht="15.75" customHeight="1">
      <c r="B102" s="84">
        <v>46119.0</v>
      </c>
      <c r="C102" s="66" t="s">
        <v>112</v>
      </c>
      <c r="D102" s="66">
        <v>500.0</v>
      </c>
      <c r="E102" s="67"/>
      <c r="F102" s="66">
        <v>60.0</v>
      </c>
      <c r="G102" s="68">
        <v>30000.0</v>
      </c>
      <c r="H102" s="69">
        <v>67500.0</v>
      </c>
      <c r="I102" s="70">
        <v>328.0</v>
      </c>
    </row>
    <row r="103" ht="15.75" customHeight="1">
      <c r="B103" s="23"/>
      <c r="C103" s="73" t="s">
        <v>115</v>
      </c>
      <c r="D103" s="73">
        <v>500.0</v>
      </c>
      <c r="E103" s="74"/>
      <c r="F103" s="73">
        <v>75.0</v>
      </c>
      <c r="G103" s="75">
        <v>37500.0</v>
      </c>
      <c r="H103" s="30"/>
      <c r="I103" s="31"/>
    </row>
    <row r="104" ht="15.75" customHeight="1">
      <c r="B104" s="83"/>
      <c r="C104" s="83"/>
      <c r="D104" s="83"/>
      <c r="E104" s="83"/>
      <c r="F104" s="83"/>
      <c r="G104" s="83"/>
      <c r="H104" s="83"/>
      <c r="I104" s="83"/>
    </row>
    <row r="105" ht="15.75" customHeight="1">
      <c r="B105" s="84">
        <v>46121.0</v>
      </c>
      <c r="C105" s="66" t="s">
        <v>118</v>
      </c>
      <c r="D105" s="66">
        <v>800.0</v>
      </c>
      <c r="E105" s="67"/>
      <c r="F105" s="66">
        <v>80.0</v>
      </c>
      <c r="G105" s="68">
        <f>F105*D105</f>
        <v>64000</v>
      </c>
      <c r="H105" s="69">
        <f>G105+G106+G107</f>
        <v>132200</v>
      </c>
      <c r="I105" s="70" t="s">
        <v>120</v>
      </c>
      <c r="J105" s="83"/>
    </row>
    <row r="106" ht="15.75" customHeight="1">
      <c r="B106" s="20"/>
      <c r="C106" s="65" t="s">
        <v>122</v>
      </c>
      <c r="D106" s="65">
        <v>300.0</v>
      </c>
      <c r="E106" s="71"/>
      <c r="F106" s="65">
        <v>70.0</v>
      </c>
      <c r="G106" s="72">
        <v>21000.0</v>
      </c>
      <c r="H106" s="27"/>
      <c r="I106" s="28"/>
      <c r="J106" s="83"/>
    </row>
    <row r="107" ht="15.75" customHeight="1">
      <c r="B107" s="23"/>
      <c r="C107" s="73" t="s">
        <v>123</v>
      </c>
      <c r="D107" s="73">
        <v>590.0</v>
      </c>
      <c r="E107" s="74"/>
      <c r="F107" s="73">
        <v>80.0</v>
      </c>
      <c r="G107" s="75">
        <v>47200.0</v>
      </c>
      <c r="H107" s="30"/>
      <c r="I107" s="31"/>
      <c r="J107" s="83"/>
    </row>
    <row r="108" ht="15.75" customHeight="1">
      <c r="B108" s="83"/>
      <c r="C108" s="83"/>
      <c r="D108" s="83"/>
      <c r="E108" s="83"/>
      <c r="F108" s="83"/>
      <c r="G108" s="83"/>
      <c r="H108" s="83"/>
      <c r="I108" s="83"/>
      <c r="J108" s="83"/>
    </row>
    <row r="109" ht="15.75" customHeight="1">
      <c r="B109" s="84">
        <v>46123.0</v>
      </c>
      <c r="C109" s="66" t="s">
        <v>127</v>
      </c>
      <c r="D109" s="66">
        <v>500.0</v>
      </c>
      <c r="E109" s="66"/>
      <c r="F109" s="66">
        <v>65.0</v>
      </c>
      <c r="G109" s="68">
        <v>32500.0</v>
      </c>
      <c r="H109" s="69">
        <v>160500.0</v>
      </c>
      <c r="I109" s="70">
        <v>335.0</v>
      </c>
      <c r="J109" s="83"/>
    </row>
    <row r="110" ht="15.75" customHeight="1">
      <c r="B110" s="20"/>
      <c r="C110" s="65" t="s">
        <v>131</v>
      </c>
      <c r="D110" s="65">
        <v>1100.0</v>
      </c>
      <c r="E110" s="65"/>
      <c r="F110" s="65">
        <v>80.0</v>
      </c>
      <c r="G110" s="72">
        <v>88000.0</v>
      </c>
      <c r="H110" s="27"/>
      <c r="I110" s="28"/>
      <c r="J110" s="83"/>
    </row>
    <row r="111" ht="15.75" customHeight="1">
      <c r="B111" s="20"/>
      <c r="C111" s="65" t="s">
        <v>133</v>
      </c>
      <c r="D111" s="65">
        <v>200.0</v>
      </c>
      <c r="E111" s="65"/>
      <c r="F111" s="65">
        <v>80.0</v>
      </c>
      <c r="G111" s="72">
        <v>16000.0</v>
      </c>
      <c r="H111" s="27"/>
      <c r="I111" s="28"/>
      <c r="J111" s="83"/>
    </row>
    <row r="112" ht="15.75" customHeight="1">
      <c r="B112" s="23"/>
      <c r="C112" s="73" t="s">
        <v>134</v>
      </c>
      <c r="D112" s="73">
        <v>300.0</v>
      </c>
      <c r="E112" s="73"/>
      <c r="F112" s="73">
        <v>80.0</v>
      </c>
      <c r="G112" s="75">
        <v>24000.0</v>
      </c>
      <c r="H112" s="30"/>
      <c r="I112" s="31"/>
      <c r="J112" s="83"/>
    </row>
    <row r="113" ht="15.75" customHeight="1">
      <c r="B113" s="83"/>
      <c r="C113" s="83"/>
      <c r="D113" s="83"/>
      <c r="E113" s="83"/>
      <c r="F113" s="83"/>
      <c r="G113" s="83"/>
      <c r="H113" s="83"/>
      <c r="I113" s="83"/>
      <c r="J113" s="83"/>
    </row>
    <row r="114" ht="15.75" customHeight="1">
      <c r="B114" s="84">
        <v>46124.0</v>
      </c>
      <c r="C114" s="66" t="s">
        <v>136</v>
      </c>
      <c r="D114" s="66">
        <v>800.0</v>
      </c>
      <c r="E114" s="67"/>
      <c r="F114" s="66">
        <v>80.0</v>
      </c>
      <c r="G114" s="68">
        <v>64000.0</v>
      </c>
      <c r="H114" s="69">
        <v>128800.0</v>
      </c>
      <c r="I114" s="70">
        <v>338.0</v>
      </c>
      <c r="J114" s="83"/>
    </row>
    <row r="115" ht="15.75" customHeight="1">
      <c r="B115" s="20"/>
      <c r="C115" s="65" t="s">
        <v>137</v>
      </c>
      <c r="D115" s="65">
        <v>200.0</v>
      </c>
      <c r="E115" s="71"/>
      <c r="F115" s="65">
        <v>80.0</v>
      </c>
      <c r="G115" s="72">
        <v>16000.0</v>
      </c>
      <c r="H115" s="27"/>
      <c r="I115" s="28"/>
      <c r="J115" s="83"/>
    </row>
    <row r="116" ht="15.75" customHeight="1">
      <c r="B116" s="20"/>
      <c r="C116" s="65" t="s">
        <v>140</v>
      </c>
      <c r="D116" s="65">
        <v>200.0</v>
      </c>
      <c r="E116" s="71"/>
      <c r="F116" s="65">
        <v>80.0</v>
      </c>
      <c r="G116" s="72">
        <v>16000.0</v>
      </c>
      <c r="H116" s="27"/>
      <c r="I116" s="28"/>
      <c r="J116" s="83"/>
    </row>
    <row r="117" ht="15.75" customHeight="1">
      <c r="B117" s="23"/>
      <c r="C117" s="73" t="s">
        <v>142</v>
      </c>
      <c r="D117" s="73">
        <v>400.0</v>
      </c>
      <c r="E117" s="74"/>
      <c r="F117" s="73">
        <v>72.0</v>
      </c>
      <c r="G117" s="75">
        <v>28800.0</v>
      </c>
      <c r="H117" s="30"/>
      <c r="I117" s="31"/>
      <c r="J117" s="83"/>
    </row>
    <row r="118" ht="15.75" customHeight="1">
      <c r="B118" s="83"/>
      <c r="C118" s="83"/>
      <c r="D118" s="83"/>
      <c r="E118" s="83"/>
      <c r="F118" s="83"/>
      <c r="G118" s="83"/>
      <c r="H118" s="83"/>
      <c r="I118" s="83"/>
      <c r="J118" s="83"/>
    </row>
    <row r="119" ht="15.75" customHeight="1">
      <c r="B119" s="84">
        <v>46125.0</v>
      </c>
      <c r="C119" s="65" t="s">
        <v>122</v>
      </c>
      <c r="D119" s="66">
        <v>700.0</v>
      </c>
      <c r="E119" s="67"/>
      <c r="F119" s="66">
        <v>72.0</v>
      </c>
      <c r="G119" s="68">
        <f t="shared" ref="G119:G121" si="19">D119*F119</f>
        <v>50400</v>
      </c>
      <c r="H119" s="69">
        <f>G119+G120+G121</f>
        <v>76400</v>
      </c>
      <c r="I119" s="70">
        <v>339.0</v>
      </c>
      <c r="J119" s="83"/>
    </row>
    <row r="120" ht="15.75" customHeight="1">
      <c r="B120" s="20"/>
      <c r="C120" s="102" t="s">
        <v>149</v>
      </c>
      <c r="D120" s="65">
        <v>250.0</v>
      </c>
      <c r="E120" s="71"/>
      <c r="F120" s="65">
        <v>65.0</v>
      </c>
      <c r="G120" s="69">
        <f t="shared" si="19"/>
        <v>16250</v>
      </c>
      <c r="H120" s="27"/>
      <c r="I120" s="28"/>
    </row>
    <row r="121" ht="15.75" customHeight="1">
      <c r="B121" s="23"/>
      <c r="C121" s="73" t="s">
        <v>123</v>
      </c>
      <c r="D121" s="73">
        <v>150.0</v>
      </c>
      <c r="E121" s="74"/>
      <c r="F121" s="73">
        <v>65.0</v>
      </c>
      <c r="G121" s="81">
        <f t="shared" si="19"/>
        <v>9750</v>
      </c>
      <c r="H121" s="30"/>
      <c r="I121" s="31"/>
    </row>
    <row r="122" ht="15.75" customHeight="1"/>
    <row r="123" ht="15.75" customHeight="1">
      <c r="B123" s="104">
        <v>46126.0</v>
      </c>
      <c r="C123" s="66" t="s">
        <v>153</v>
      </c>
      <c r="D123" s="66">
        <v>800.0</v>
      </c>
      <c r="E123" s="67"/>
      <c r="F123" s="66">
        <v>72.0</v>
      </c>
      <c r="G123" s="66">
        <v>57600.0</v>
      </c>
      <c r="H123" s="106">
        <v>93600.0</v>
      </c>
      <c r="I123" s="70">
        <v>343.0</v>
      </c>
      <c r="J123" s="83"/>
      <c r="K123" s="83"/>
    </row>
    <row r="124" ht="15.75" customHeight="1">
      <c r="B124" s="23"/>
      <c r="C124" s="73" t="s">
        <v>155</v>
      </c>
      <c r="D124" s="73">
        <v>500.0</v>
      </c>
      <c r="E124" s="74"/>
      <c r="F124" s="73">
        <v>72.0</v>
      </c>
      <c r="G124" s="73">
        <v>36000.0</v>
      </c>
      <c r="H124" s="30"/>
      <c r="I124" s="31"/>
      <c r="J124" s="83"/>
      <c r="K124" s="83"/>
    </row>
    <row r="125" ht="15.75" customHeight="1">
      <c r="B125" s="83"/>
      <c r="C125" s="83"/>
      <c r="D125" s="83"/>
      <c r="E125" s="83"/>
      <c r="F125" s="83"/>
      <c r="G125" s="83"/>
      <c r="H125" s="83"/>
      <c r="I125" s="83"/>
      <c r="J125" s="83"/>
      <c r="K125" s="83"/>
    </row>
    <row r="126" ht="15.75" customHeight="1">
      <c r="B126" s="14">
        <v>46127.0</v>
      </c>
      <c r="C126" s="15" t="s">
        <v>156</v>
      </c>
      <c r="D126" s="15">
        <v>85.0</v>
      </c>
      <c r="E126" s="12"/>
      <c r="F126" s="15">
        <v>80.0</v>
      </c>
      <c r="G126" s="17">
        <f t="shared" ref="G126:G132" si="20">+F126*D126</f>
        <v>6800</v>
      </c>
      <c r="H126" s="18">
        <f>+G126+G132+G131+G130+G127+G128+G129</f>
        <v>148700</v>
      </c>
      <c r="I126" s="21">
        <v>347.0</v>
      </c>
      <c r="J126" s="83"/>
      <c r="K126" s="83"/>
    </row>
    <row r="127" ht="15.75" customHeight="1">
      <c r="B127" s="20"/>
      <c r="C127" s="15" t="s">
        <v>157</v>
      </c>
      <c r="D127" s="15">
        <v>85.0</v>
      </c>
      <c r="E127" s="12"/>
      <c r="F127" s="15">
        <v>80.0</v>
      </c>
      <c r="G127" s="17">
        <f t="shared" si="20"/>
        <v>6800</v>
      </c>
      <c r="H127" s="27"/>
      <c r="I127" s="28"/>
      <c r="J127" s="83"/>
      <c r="K127" s="83"/>
    </row>
    <row r="128" ht="15.75" customHeight="1">
      <c r="B128" s="20"/>
      <c r="C128" s="15" t="s">
        <v>158</v>
      </c>
      <c r="D128" s="15">
        <v>135.0</v>
      </c>
      <c r="E128" s="22"/>
      <c r="F128" s="15">
        <v>80.0</v>
      </c>
      <c r="G128" s="17">
        <f t="shared" si="20"/>
        <v>10800</v>
      </c>
      <c r="H128" s="27"/>
      <c r="I128" s="28"/>
      <c r="J128" s="83"/>
      <c r="K128" s="83"/>
    </row>
    <row r="129" ht="15.75" customHeight="1">
      <c r="B129" s="20"/>
      <c r="C129" s="15" t="s">
        <v>159</v>
      </c>
      <c r="D129" s="15">
        <v>700.0</v>
      </c>
      <c r="E129" s="22"/>
      <c r="F129" s="15">
        <v>72.0</v>
      </c>
      <c r="G129" s="17">
        <f t="shared" si="20"/>
        <v>50400</v>
      </c>
      <c r="H129" s="27"/>
      <c r="I129" s="28"/>
      <c r="J129" s="83"/>
      <c r="K129" s="83"/>
    </row>
    <row r="130" ht="15.75" customHeight="1">
      <c r="B130" s="20"/>
      <c r="C130" s="15" t="s">
        <v>162</v>
      </c>
      <c r="D130" s="15">
        <v>200.0</v>
      </c>
      <c r="E130" s="22"/>
      <c r="F130" s="15">
        <v>72.0</v>
      </c>
      <c r="G130" s="17">
        <f t="shared" si="20"/>
        <v>14400</v>
      </c>
      <c r="H130" s="27"/>
      <c r="I130" s="28"/>
      <c r="J130" s="83"/>
      <c r="K130" s="83"/>
    </row>
    <row r="131" ht="15.75" customHeight="1">
      <c r="B131" s="20"/>
      <c r="C131" s="15" t="s">
        <v>163</v>
      </c>
      <c r="D131" s="15">
        <v>400.0</v>
      </c>
      <c r="E131" s="22"/>
      <c r="F131" s="15">
        <v>80.0</v>
      </c>
      <c r="G131" s="17">
        <f t="shared" si="20"/>
        <v>32000</v>
      </c>
      <c r="H131" s="27"/>
      <c r="I131" s="28"/>
      <c r="J131" s="83"/>
      <c r="K131" s="83"/>
    </row>
    <row r="132" ht="15.75" customHeight="1">
      <c r="B132" s="23"/>
      <c r="C132" s="15" t="s">
        <v>165</v>
      </c>
      <c r="D132" s="15">
        <v>500.0</v>
      </c>
      <c r="E132" s="25"/>
      <c r="F132" s="15">
        <v>55.0</v>
      </c>
      <c r="G132" s="29">
        <f t="shared" si="20"/>
        <v>27500</v>
      </c>
      <c r="H132" s="30"/>
      <c r="I132" s="31"/>
      <c r="J132" s="83"/>
      <c r="K132" s="83"/>
    </row>
    <row r="133" ht="15.75" customHeight="1">
      <c r="B133" s="83"/>
      <c r="C133" s="83"/>
      <c r="D133" s="83"/>
      <c r="E133" s="83"/>
      <c r="F133" s="83"/>
      <c r="G133" s="83"/>
      <c r="H133" s="83"/>
      <c r="I133" s="83"/>
      <c r="J133" s="83"/>
      <c r="K133" s="83"/>
    </row>
    <row r="134" ht="15.75" customHeight="1">
      <c r="B134" s="84">
        <v>46128.0</v>
      </c>
      <c r="C134" s="66" t="s">
        <v>166</v>
      </c>
      <c r="D134" s="66">
        <v>500.0</v>
      </c>
      <c r="E134" s="67"/>
      <c r="F134" s="66">
        <v>60.0</v>
      </c>
      <c r="G134" s="68">
        <f t="shared" ref="G134:G136" si="21">F134*D134</f>
        <v>30000</v>
      </c>
      <c r="H134" s="69">
        <f>G134+G135+G136</f>
        <v>58800</v>
      </c>
      <c r="I134" s="70">
        <v>349.0</v>
      </c>
      <c r="J134" s="83"/>
      <c r="K134" s="83"/>
    </row>
    <row r="135" ht="15.75" customHeight="1">
      <c r="B135" s="20"/>
      <c r="C135" s="15" t="s">
        <v>159</v>
      </c>
      <c r="D135" s="65">
        <v>100.0</v>
      </c>
      <c r="E135" s="71"/>
      <c r="F135" s="65">
        <v>72.0</v>
      </c>
      <c r="G135" s="68">
        <f t="shared" si="21"/>
        <v>7200</v>
      </c>
      <c r="H135" s="27"/>
      <c r="I135" s="28"/>
      <c r="J135" s="83"/>
      <c r="K135" s="83"/>
    </row>
    <row r="136" ht="15.75" customHeight="1">
      <c r="B136" s="23"/>
      <c r="C136" s="73" t="s">
        <v>172</v>
      </c>
      <c r="D136" s="73">
        <v>300.0</v>
      </c>
      <c r="E136" s="74"/>
      <c r="F136" s="73">
        <v>72.0</v>
      </c>
      <c r="G136" s="68">
        <f t="shared" si="21"/>
        <v>21600</v>
      </c>
      <c r="H136" s="30"/>
      <c r="I136" s="31"/>
      <c r="J136" s="83"/>
      <c r="K136" s="83"/>
    </row>
    <row r="137" ht="15.75" customHeight="1">
      <c r="B137" s="83"/>
      <c r="C137" s="83"/>
      <c r="D137" s="83"/>
      <c r="E137" s="83"/>
      <c r="F137" s="83"/>
      <c r="G137" s="83"/>
      <c r="H137" s="83"/>
      <c r="I137" s="83"/>
      <c r="J137" s="83"/>
      <c r="K137" s="83"/>
    </row>
    <row r="138" ht="15.75" customHeight="1">
      <c r="B138" s="76">
        <v>46130.0</v>
      </c>
      <c r="C138" s="77" t="s">
        <v>175</v>
      </c>
      <c r="D138" s="77">
        <v>500.0</v>
      </c>
      <c r="E138" s="79"/>
      <c r="F138" s="77">
        <v>80.0</v>
      </c>
      <c r="G138" s="81">
        <v>40000.0</v>
      </c>
      <c r="H138" s="81">
        <v>40000.0</v>
      </c>
      <c r="I138" s="112"/>
      <c r="J138" s="83"/>
      <c r="K138" s="83"/>
    </row>
    <row r="139" ht="15.75" customHeight="1">
      <c r="B139" s="83"/>
      <c r="C139" s="83"/>
      <c r="D139" s="83"/>
      <c r="E139" s="83"/>
      <c r="F139" s="83"/>
      <c r="G139" s="83"/>
      <c r="H139" s="83"/>
      <c r="I139" s="83"/>
      <c r="J139" s="83"/>
      <c r="K139" s="83"/>
    </row>
    <row r="140" ht="15.75" customHeight="1">
      <c r="B140" s="84">
        <v>46132.0</v>
      </c>
      <c r="C140" s="66" t="s">
        <v>178</v>
      </c>
      <c r="D140" s="66">
        <v>150.0</v>
      </c>
      <c r="E140" s="67"/>
      <c r="F140" s="66">
        <v>72.0</v>
      </c>
      <c r="G140" s="68">
        <v>10800.0</v>
      </c>
      <c r="H140" s="69">
        <v>42000.0</v>
      </c>
      <c r="I140" s="70">
        <v>357.0</v>
      </c>
      <c r="J140" s="83"/>
      <c r="K140" s="83"/>
    </row>
    <row r="141" ht="15.75" customHeight="1">
      <c r="B141" s="20"/>
      <c r="C141" s="65" t="s">
        <v>180</v>
      </c>
      <c r="D141" s="65">
        <v>100.0</v>
      </c>
      <c r="E141" s="71"/>
      <c r="F141" s="65">
        <v>72.0</v>
      </c>
      <c r="G141" s="72">
        <v>7200.0</v>
      </c>
      <c r="H141" s="27"/>
      <c r="I141" s="28"/>
      <c r="J141" s="83"/>
      <c r="K141" s="83"/>
    </row>
    <row r="142" ht="15.75" customHeight="1">
      <c r="B142" s="23"/>
      <c r="C142" s="73" t="s">
        <v>181</v>
      </c>
      <c r="D142" s="73">
        <v>300.0</v>
      </c>
      <c r="E142" s="74"/>
      <c r="F142" s="73">
        <v>80.0</v>
      </c>
      <c r="G142" s="75">
        <v>24000.0</v>
      </c>
      <c r="H142" s="30"/>
      <c r="I142" s="31"/>
      <c r="J142" s="83"/>
      <c r="K142" s="83"/>
    </row>
    <row r="143" ht="15.75" customHeight="1">
      <c r="B143" s="83"/>
      <c r="C143" s="83"/>
      <c r="D143" s="83"/>
      <c r="E143" s="83"/>
      <c r="F143" s="83"/>
      <c r="G143" s="83"/>
      <c r="H143" s="83"/>
      <c r="I143" s="83"/>
      <c r="J143" s="83"/>
      <c r="K143" s="83"/>
    </row>
    <row r="144" ht="15.75" customHeight="1">
      <c r="B144" s="84">
        <v>46133.0</v>
      </c>
      <c r="C144" s="66" t="s">
        <v>184</v>
      </c>
      <c r="D144" s="66">
        <v>200.0</v>
      </c>
      <c r="E144" s="67"/>
      <c r="F144" s="66">
        <v>60.0</v>
      </c>
      <c r="G144" s="68">
        <v>12000.0</v>
      </c>
      <c r="H144" s="69">
        <v>76000.0</v>
      </c>
      <c r="I144" s="70">
        <v>359.0</v>
      </c>
      <c r="J144" s="83"/>
      <c r="K144" s="83"/>
    </row>
    <row r="145" ht="15.75" customHeight="1">
      <c r="B145" s="23"/>
      <c r="C145" s="73" t="s">
        <v>187</v>
      </c>
      <c r="D145" s="73">
        <v>800.0</v>
      </c>
      <c r="E145" s="74"/>
      <c r="F145" s="73">
        <v>80.0</v>
      </c>
      <c r="G145" s="75">
        <v>64000.0</v>
      </c>
      <c r="H145" s="30"/>
      <c r="I145" s="31"/>
      <c r="J145" s="83"/>
      <c r="K145" s="83"/>
    </row>
    <row r="146" ht="15.75" customHeight="1">
      <c r="B146" s="83"/>
      <c r="C146" s="83"/>
      <c r="D146" s="83"/>
      <c r="E146" s="83"/>
      <c r="F146" s="83"/>
      <c r="G146" s="83"/>
      <c r="H146" s="83"/>
      <c r="I146" s="83"/>
      <c r="J146" s="83"/>
      <c r="K146" s="83"/>
    </row>
    <row r="147" ht="15.75" customHeight="1">
      <c r="B147" s="84">
        <v>46134.0</v>
      </c>
      <c r="C147" s="66" t="s">
        <v>192</v>
      </c>
      <c r="D147" s="66">
        <v>0.0</v>
      </c>
      <c r="E147" s="67"/>
      <c r="F147" s="66">
        <v>0.0</v>
      </c>
      <c r="G147" s="66">
        <v>0.0</v>
      </c>
      <c r="H147" s="69">
        <v>39400.0</v>
      </c>
      <c r="I147" s="70">
        <v>366.0</v>
      </c>
      <c r="J147" s="83"/>
      <c r="K147" s="83"/>
    </row>
    <row r="148" ht="15.75" customHeight="1">
      <c r="B148" s="20"/>
      <c r="C148" s="65" t="s">
        <v>196</v>
      </c>
      <c r="D148" s="65">
        <v>200.0</v>
      </c>
      <c r="E148" s="71"/>
      <c r="F148" s="65">
        <v>72.0</v>
      </c>
      <c r="G148" s="72">
        <v>14400.0</v>
      </c>
      <c r="H148" s="27"/>
      <c r="I148" s="28"/>
      <c r="J148" s="83"/>
      <c r="K148" s="83"/>
    </row>
    <row r="149" ht="15.75" customHeight="1">
      <c r="B149" s="23"/>
      <c r="C149" s="73" t="s">
        <v>198</v>
      </c>
      <c r="D149" s="73">
        <v>500.0</v>
      </c>
      <c r="E149" s="74"/>
      <c r="F149" s="73">
        <v>50.0</v>
      </c>
      <c r="G149" s="75">
        <v>25000.0</v>
      </c>
      <c r="H149" s="30"/>
      <c r="I149" s="31"/>
      <c r="J149" s="83"/>
      <c r="K149" s="83"/>
    </row>
    <row r="150" ht="15.75" customHeight="1">
      <c r="B150" s="83"/>
      <c r="C150" s="83"/>
      <c r="D150" s="83"/>
      <c r="E150" s="83"/>
      <c r="F150" s="83"/>
      <c r="G150" s="83"/>
      <c r="H150" s="83"/>
      <c r="I150" s="83"/>
      <c r="J150" s="83"/>
      <c r="K150" s="83"/>
    </row>
    <row r="151" ht="15.75" customHeight="1">
      <c r="B151" s="84">
        <v>46135.0</v>
      </c>
      <c r="C151" s="73" t="s">
        <v>181</v>
      </c>
      <c r="D151" s="66">
        <v>1000.0</v>
      </c>
      <c r="E151" s="67"/>
      <c r="F151" s="66">
        <v>80.0</v>
      </c>
      <c r="G151" s="66">
        <f t="shared" ref="G151:G153" si="22">F151*D151</f>
        <v>80000</v>
      </c>
      <c r="H151" s="69">
        <f>G151+G152+G153</f>
        <v>123200</v>
      </c>
      <c r="I151" s="70">
        <v>367.0</v>
      </c>
      <c r="J151" s="83"/>
      <c r="K151" s="83"/>
    </row>
    <row r="152" ht="15.75" customHeight="1">
      <c r="B152" s="20"/>
      <c r="C152" s="65" t="s">
        <v>196</v>
      </c>
      <c r="D152" s="65">
        <v>400.0</v>
      </c>
      <c r="E152" s="71"/>
      <c r="F152" s="65">
        <v>72.0</v>
      </c>
      <c r="G152" s="66">
        <f t="shared" si="22"/>
        <v>28800</v>
      </c>
      <c r="H152" s="27"/>
      <c r="I152" s="28"/>
      <c r="J152" s="83"/>
      <c r="K152" s="83"/>
    </row>
    <row r="153" ht="15.75" customHeight="1">
      <c r="B153" s="23"/>
      <c r="C153" s="65" t="s">
        <v>205</v>
      </c>
      <c r="D153" s="73">
        <v>200.0</v>
      </c>
      <c r="E153" s="74"/>
      <c r="F153" s="73">
        <v>72.0</v>
      </c>
      <c r="G153" s="66">
        <f t="shared" si="22"/>
        <v>14400</v>
      </c>
      <c r="H153" s="30"/>
      <c r="I153" s="31"/>
      <c r="J153" s="83"/>
      <c r="K153" s="83"/>
    </row>
    <row r="154" ht="15.75" customHeight="1">
      <c r="B154" s="83"/>
      <c r="C154" s="83"/>
      <c r="D154" s="83"/>
      <c r="E154" s="83"/>
      <c r="F154" s="83"/>
      <c r="G154" s="83"/>
      <c r="H154" s="83"/>
      <c r="I154" s="83"/>
      <c r="J154" s="83"/>
      <c r="K154" s="83"/>
    </row>
    <row r="155" ht="15.75" customHeight="1">
      <c r="B155" s="84">
        <v>46138.0</v>
      </c>
      <c r="C155" s="66" t="s">
        <v>208</v>
      </c>
      <c r="D155" s="66">
        <v>1200.0</v>
      </c>
      <c r="E155" s="67"/>
      <c r="F155" s="66">
        <v>80.0</v>
      </c>
      <c r="G155" s="66">
        <v>96000.0</v>
      </c>
      <c r="H155" s="69">
        <v>182400.0</v>
      </c>
      <c r="I155" s="70">
        <v>370.0</v>
      </c>
      <c r="J155" s="83"/>
      <c r="K155" s="83"/>
    </row>
    <row r="156" ht="15.75" customHeight="1">
      <c r="B156" s="23"/>
      <c r="C156" s="73" t="s">
        <v>209</v>
      </c>
      <c r="D156" s="73">
        <v>1200.0</v>
      </c>
      <c r="E156" s="74"/>
      <c r="F156" s="73">
        <v>72.0</v>
      </c>
      <c r="G156" s="75">
        <v>86400.0</v>
      </c>
      <c r="H156" s="30"/>
      <c r="I156" s="31"/>
      <c r="J156" s="83"/>
      <c r="K156" s="83"/>
    </row>
    <row r="157" ht="15.75" customHeight="1">
      <c r="B157" s="83"/>
      <c r="C157" s="83"/>
      <c r="D157" s="83"/>
      <c r="E157" s="83"/>
      <c r="F157" s="83"/>
      <c r="G157" s="83"/>
      <c r="H157" s="83"/>
      <c r="I157" s="83"/>
      <c r="J157" s="83"/>
      <c r="K157" s="83"/>
    </row>
    <row r="158" ht="15.75" customHeight="1">
      <c r="B158" s="84">
        <v>46139.0</v>
      </c>
      <c r="C158" s="66" t="s">
        <v>208</v>
      </c>
      <c r="D158" s="66">
        <v>2000.0</v>
      </c>
      <c r="E158" s="67"/>
      <c r="F158" s="66">
        <v>80.0</v>
      </c>
      <c r="G158" s="66">
        <f t="shared" ref="G158:G159" si="23">F158*D158</f>
        <v>160000</v>
      </c>
      <c r="H158" s="69">
        <f>G158+G159</f>
        <v>208960</v>
      </c>
      <c r="I158" s="70">
        <v>373.0</v>
      </c>
      <c r="J158" s="83"/>
      <c r="K158" s="83"/>
    </row>
    <row r="159" ht="15.75" customHeight="1">
      <c r="B159" s="23"/>
      <c r="C159" s="73" t="s">
        <v>209</v>
      </c>
      <c r="D159" s="73">
        <v>680.0</v>
      </c>
      <c r="E159" s="74"/>
      <c r="F159" s="73">
        <v>72.0</v>
      </c>
      <c r="G159" s="66">
        <f t="shared" si="23"/>
        <v>48960</v>
      </c>
      <c r="H159" s="30"/>
      <c r="I159" s="31"/>
      <c r="J159" s="83"/>
      <c r="K159" s="83"/>
    </row>
    <row r="160" ht="15.75" customHeight="1">
      <c r="B160" s="83"/>
      <c r="C160" s="83"/>
      <c r="D160" s="83"/>
      <c r="E160" s="83"/>
      <c r="F160" s="83"/>
      <c r="G160" s="83"/>
      <c r="H160" s="83"/>
      <c r="I160" s="83"/>
      <c r="J160" s="83"/>
      <c r="K160" s="83"/>
    </row>
    <row r="161" ht="15.75" customHeight="1">
      <c r="B161" s="76">
        <v>46141.0</v>
      </c>
      <c r="C161" s="73" t="s">
        <v>209</v>
      </c>
      <c r="D161" s="77">
        <v>190.0</v>
      </c>
      <c r="E161" s="79"/>
      <c r="F161" s="77">
        <v>72.0</v>
      </c>
      <c r="G161" s="81">
        <f>F161*D161</f>
        <v>13680</v>
      </c>
      <c r="H161" s="81">
        <f>G161</f>
        <v>13680</v>
      </c>
      <c r="I161" s="82">
        <v>376.0</v>
      </c>
      <c r="J161" s="83"/>
      <c r="K161" s="83"/>
    </row>
    <row r="162" ht="15.75" customHeight="1">
      <c r="B162" s="83"/>
      <c r="C162" s="83"/>
      <c r="D162" s="83"/>
      <c r="E162" s="83"/>
      <c r="F162" s="83"/>
      <c r="G162" s="83"/>
      <c r="H162" s="83"/>
      <c r="I162" s="83"/>
      <c r="J162" s="83"/>
      <c r="K162" s="83"/>
    </row>
    <row r="163" ht="15.75" customHeight="1">
      <c r="B163" s="76">
        <v>46145.0</v>
      </c>
      <c r="C163" s="66" t="s">
        <v>208</v>
      </c>
      <c r="D163" s="77">
        <v>200.0</v>
      </c>
      <c r="E163" s="79"/>
      <c r="F163" s="77">
        <v>80.0</v>
      </c>
      <c r="G163" s="81">
        <f>F163*D163</f>
        <v>16000</v>
      </c>
      <c r="H163" s="81">
        <f>G163</f>
        <v>16000</v>
      </c>
      <c r="I163" s="82">
        <v>381.0</v>
      </c>
      <c r="J163" s="83"/>
      <c r="K163" s="83"/>
    </row>
    <row r="164" ht="15.75" customHeight="1">
      <c r="B164" s="83"/>
      <c r="C164" s="83"/>
      <c r="D164" s="83"/>
      <c r="E164" s="83"/>
      <c r="F164" s="83"/>
      <c r="G164" s="83"/>
      <c r="H164" s="83"/>
      <c r="I164" s="83"/>
      <c r="J164" s="83"/>
      <c r="K164" s="83"/>
    </row>
    <row r="165" ht="15.75" customHeight="1">
      <c r="B165" s="84">
        <v>46152.0</v>
      </c>
      <c r="C165" s="73" t="s">
        <v>209</v>
      </c>
      <c r="D165" s="66">
        <v>320.0</v>
      </c>
      <c r="E165" s="66"/>
      <c r="F165" s="66">
        <v>72.0</v>
      </c>
      <c r="G165" s="68">
        <f t="shared" ref="G165:G168" si="24">F165*D165</f>
        <v>23040</v>
      </c>
      <c r="H165" s="69">
        <f>G165+G166+G167+G168</f>
        <v>65760</v>
      </c>
      <c r="I165" s="70">
        <v>394.0</v>
      </c>
      <c r="J165" s="83"/>
      <c r="K165" s="83"/>
    </row>
    <row r="166" ht="15.75" customHeight="1">
      <c r="B166" s="20"/>
      <c r="C166" s="73" t="s">
        <v>218</v>
      </c>
      <c r="D166" s="65">
        <v>160.0</v>
      </c>
      <c r="E166" s="65"/>
      <c r="F166" s="65">
        <v>72.0</v>
      </c>
      <c r="G166" s="68">
        <f t="shared" si="24"/>
        <v>11520</v>
      </c>
      <c r="H166" s="27"/>
      <c r="I166" s="28"/>
      <c r="J166" s="83"/>
      <c r="K166" s="83"/>
    </row>
    <row r="167" ht="15.75" customHeight="1">
      <c r="B167" s="20"/>
      <c r="C167" s="65" t="s">
        <v>219</v>
      </c>
      <c r="D167" s="65">
        <v>100.0</v>
      </c>
      <c r="E167" s="65"/>
      <c r="F167" s="65">
        <v>72.0</v>
      </c>
      <c r="G167" s="68">
        <f t="shared" si="24"/>
        <v>7200</v>
      </c>
      <c r="H167" s="27"/>
      <c r="I167" s="28"/>
      <c r="J167" s="83"/>
      <c r="K167" s="83"/>
    </row>
    <row r="168" ht="15.75" customHeight="1">
      <c r="B168" s="23"/>
      <c r="C168" s="65" t="s">
        <v>220</v>
      </c>
      <c r="D168" s="73">
        <v>300.0</v>
      </c>
      <c r="E168" s="73"/>
      <c r="F168" s="73">
        <v>80.0</v>
      </c>
      <c r="G168" s="68">
        <f t="shared" si="24"/>
        <v>24000</v>
      </c>
      <c r="H168" s="30"/>
      <c r="I168" s="31"/>
      <c r="J168" s="83"/>
      <c r="K168" s="83"/>
    </row>
    <row r="169" ht="15.75" customHeight="1">
      <c r="B169" s="83"/>
      <c r="C169" s="83"/>
      <c r="D169" s="83"/>
      <c r="E169" s="83"/>
      <c r="F169" s="83"/>
      <c r="G169" s="83"/>
      <c r="H169" s="83"/>
      <c r="I169" s="83"/>
      <c r="J169" s="83"/>
      <c r="K169" s="83"/>
    </row>
    <row r="170" ht="15.75" customHeight="1">
      <c r="B170" s="76">
        <v>46153.0</v>
      </c>
      <c r="C170" s="73" t="s">
        <v>223</v>
      </c>
      <c r="D170" s="77">
        <v>100.0</v>
      </c>
      <c r="E170" s="79"/>
      <c r="F170" s="77">
        <v>72.0</v>
      </c>
      <c r="G170" s="81">
        <f>F170*D170</f>
        <v>7200</v>
      </c>
      <c r="H170" s="81">
        <f>G170</f>
        <v>7200</v>
      </c>
      <c r="I170" s="82">
        <v>396.0</v>
      </c>
      <c r="J170" s="83"/>
      <c r="K170" s="83"/>
    </row>
    <row r="171" ht="15.75" customHeight="1">
      <c r="B171" s="83"/>
      <c r="C171" s="83"/>
      <c r="D171" s="83"/>
      <c r="E171" s="83"/>
      <c r="F171" s="83"/>
      <c r="G171" s="83"/>
      <c r="H171" s="83"/>
      <c r="I171" s="83"/>
      <c r="J171" s="83"/>
      <c r="K171" s="83"/>
    </row>
    <row r="172" ht="15.75" customHeight="1">
      <c r="B172" s="76">
        <v>46154.0</v>
      </c>
      <c r="C172" s="65" t="s">
        <v>220</v>
      </c>
      <c r="D172" s="77">
        <v>350.0</v>
      </c>
      <c r="E172" s="79"/>
      <c r="F172" s="77">
        <v>80.0</v>
      </c>
      <c r="G172" s="81">
        <f>F172*D172</f>
        <v>28000</v>
      </c>
      <c r="H172" s="81">
        <f>G172</f>
        <v>28000</v>
      </c>
      <c r="I172" s="82">
        <v>398.0</v>
      </c>
      <c r="J172" s="83"/>
      <c r="K172" s="83"/>
    </row>
    <row r="173" ht="15.75" customHeight="1">
      <c r="B173" s="83"/>
      <c r="C173" s="83"/>
      <c r="D173" s="83"/>
      <c r="E173" s="83"/>
      <c r="F173" s="83"/>
      <c r="G173" s="83"/>
      <c r="H173" s="83"/>
      <c r="I173" s="83"/>
      <c r="J173" s="83"/>
      <c r="K173" s="83"/>
    </row>
    <row r="174" ht="15.75" customHeight="1">
      <c r="B174" s="84">
        <v>46159.0</v>
      </c>
      <c r="C174" s="129" t="s">
        <v>181</v>
      </c>
      <c r="D174" s="66">
        <v>500.0</v>
      </c>
      <c r="E174" s="67"/>
      <c r="F174" s="66">
        <v>80.0</v>
      </c>
      <c r="G174" s="66">
        <f t="shared" ref="G174:G176" si="25">F174*D174</f>
        <v>40000</v>
      </c>
      <c r="H174" s="69">
        <f>G174+G175+G176</f>
        <v>42880</v>
      </c>
      <c r="I174" s="70">
        <v>401.0</v>
      </c>
      <c r="J174" s="133" t="s">
        <v>231</v>
      </c>
      <c r="K174" s="83"/>
    </row>
    <row r="175" ht="15.75" customHeight="1">
      <c r="B175" s="20"/>
      <c r="C175" s="65" t="s">
        <v>233</v>
      </c>
      <c r="D175" s="65">
        <v>20.0</v>
      </c>
      <c r="E175" s="71"/>
      <c r="F175" s="65">
        <v>72.0</v>
      </c>
      <c r="G175" s="66">
        <f t="shared" si="25"/>
        <v>1440</v>
      </c>
      <c r="H175" s="27"/>
      <c r="I175" s="28"/>
      <c r="J175" s="83"/>
      <c r="K175" s="83"/>
    </row>
    <row r="176" ht="15.75" customHeight="1">
      <c r="B176" s="23"/>
      <c r="C176" s="65" t="s">
        <v>235</v>
      </c>
      <c r="D176" s="73">
        <v>20.0</v>
      </c>
      <c r="E176" s="74"/>
      <c r="F176" s="73">
        <v>72.0</v>
      </c>
      <c r="G176" s="66">
        <f t="shared" si="25"/>
        <v>1440</v>
      </c>
      <c r="H176" s="30"/>
      <c r="I176" s="31"/>
      <c r="J176" s="83"/>
      <c r="K176" s="83"/>
    </row>
    <row r="177" ht="15.75" customHeight="1">
      <c r="B177" s="83"/>
      <c r="C177" s="83"/>
      <c r="D177" s="83"/>
      <c r="E177" s="83"/>
      <c r="F177" s="83"/>
      <c r="G177" s="83"/>
      <c r="H177" s="83"/>
      <c r="I177" s="83"/>
      <c r="J177" s="83"/>
      <c r="K177" s="83"/>
    </row>
    <row r="178" ht="15.75" customHeight="1">
      <c r="B178" s="84">
        <v>46159.0</v>
      </c>
      <c r="C178" s="129" t="s">
        <v>238</v>
      </c>
      <c r="D178" s="66">
        <v>100.0</v>
      </c>
      <c r="E178" s="67"/>
      <c r="F178" s="66">
        <v>72.0</v>
      </c>
      <c r="G178" s="66">
        <f t="shared" ref="G178:G180" si="26">F178*D178</f>
        <v>7200</v>
      </c>
      <c r="H178" s="69">
        <f>G178+G179+G180</f>
        <v>36000</v>
      </c>
      <c r="I178" s="70">
        <v>405.0</v>
      </c>
      <c r="J178" s="102" t="s">
        <v>151</v>
      </c>
    </row>
    <row r="179" ht="15.75" customHeight="1">
      <c r="B179" s="20"/>
      <c r="C179" s="137" t="s">
        <v>241</v>
      </c>
      <c r="D179" s="65">
        <v>100.0</v>
      </c>
      <c r="E179" s="71"/>
      <c r="F179" s="65">
        <v>72.0</v>
      </c>
      <c r="G179" s="66">
        <f t="shared" si="26"/>
        <v>7200</v>
      </c>
      <c r="H179" s="27"/>
      <c r="I179" s="28"/>
      <c r="J179" s="102" t="s">
        <v>151</v>
      </c>
    </row>
    <row r="180" ht="15.75" customHeight="1">
      <c r="B180" s="23"/>
      <c r="C180" s="137" t="s">
        <v>244</v>
      </c>
      <c r="D180" s="73">
        <v>300.0</v>
      </c>
      <c r="E180" s="74"/>
      <c r="F180" s="73">
        <v>72.0</v>
      </c>
      <c r="G180" s="66">
        <f t="shared" si="26"/>
        <v>21600</v>
      </c>
      <c r="H180" s="30"/>
      <c r="I180" s="31"/>
      <c r="J180" s="102" t="s">
        <v>151</v>
      </c>
    </row>
    <row r="181" ht="15.75" customHeight="1"/>
    <row r="182" ht="15.75" customHeight="1">
      <c r="B182" s="84">
        <v>46182.0</v>
      </c>
      <c r="C182" s="66" t="s">
        <v>245</v>
      </c>
      <c r="D182" s="66">
        <v>100.0</v>
      </c>
      <c r="E182" s="67"/>
      <c r="F182" s="66">
        <v>72.0</v>
      </c>
      <c r="G182" s="66">
        <v>7200.0</v>
      </c>
      <c r="H182" s="69">
        <v>14400.0</v>
      </c>
      <c r="I182" s="70">
        <v>411.0</v>
      </c>
    </row>
    <row r="183" ht="15.75" customHeight="1">
      <c r="B183" s="23"/>
      <c r="C183" s="73" t="s">
        <v>209</v>
      </c>
      <c r="D183" s="73">
        <v>100.0</v>
      </c>
      <c r="E183" s="74"/>
      <c r="F183" s="73">
        <v>72.0</v>
      </c>
      <c r="G183" s="73">
        <v>7200.0</v>
      </c>
      <c r="H183" s="30"/>
      <c r="I183" s="31"/>
    </row>
    <row r="184" ht="15.75" customHeight="1"/>
    <row r="185" ht="15.75" customHeight="1">
      <c r="B185" s="84">
        <v>46187.0</v>
      </c>
      <c r="C185" s="138" t="s">
        <v>248</v>
      </c>
      <c r="D185" s="66">
        <v>300.0</v>
      </c>
      <c r="E185" s="67"/>
      <c r="F185" s="65">
        <v>72.0</v>
      </c>
      <c r="G185" s="66">
        <f>F185*D185</f>
        <v>21600</v>
      </c>
      <c r="H185" s="69">
        <f>G185+G186+G187</f>
        <v>78200</v>
      </c>
      <c r="I185" s="70">
        <v>417.0</v>
      </c>
    </row>
    <row r="186" ht="15.75" customHeight="1">
      <c r="B186" s="20"/>
      <c r="C186" s="118" t="s">
        <v>251</v>
      </c>
      <c r="D186" s="65">
        <v>300.0</v>
      </c>
      <c r="E186" s="71"/>
      <c r="F186" s="102">
        <v>72.0</v>
      </c>
      <c r="G186" s="66">
        <f>F185*D186</f>
        <v>21600</v>
      </c>
      <c r="H186" s="27"/>
      <c r="I186" s="28"/>
    </row>
    <row r="187" ht="15.75" customHeight="1">
      <c r="B187" s="23"/>
      <c r="C187" s="118" t="s">
        <v>253</v>
      </c>
      <c r="D187" s="73">
        <v>700.0</v>
      </c>
      <c r="E187" s="74"/>
      <c r="F187" s="73">
        <v>50.0</v>
      </c>
      <c r="G187" s="66">
        <f>F187*D187</f>
        <v>35000</v>
      </c>
      <c r="H187" s="30"/>
      <c r="I187" s="31"/>
    </row>
    <row r="188" ht="15.75" customHeight="1">
      <c r="B188" s="83"/>
      <c r="C188" s="83"/>
      <c r="D188" s="83"/>
      <c r="E188" s="83"/>
      <c r="F188" s="83"/>
      <c r="G188" s="83"/>
      <c r="H188" s="83"/>
      <c r="I188" s="83"/>
    </row>
    <row r="189" ht="15.75" customHeight="1">
      <c r="B189" s="84">
        <v>46190.0</v>
      </c>
      <c r="C189" s="73" t="s">
        <v>255</v>
      </c>
      <c r="D189" s="66">
        <v>310.0</v>
      </c>
      <c r="E189" s="66"/>
      <c r="F189" s="66">
        <v>72.0</v>
      </c>
      <c r="G189" s="68">
        <f t="shared" ref="G189:G192" si="27">F189*D189</f>
        <v>22320</v>
      </c>
      <c r="H189" s="69">
        <f>G189+G190+G191+G192</f>
        <v>126720</v>
      </c>
      <c r="I189" s="70">
        <v>420.0</v>
      </c>
    </row>
    <row r="190" ht="15.75" customHeight="1">
      <c r="B190" s="20"/>
      <c r="C190" s="73" t="s">
        <v>260</v>
      </c>
      <c r="D190" s="65">
        <v>400.0</v>
      </c>
      <c r="E190" s="65"/>
      <c r="F190" s="65">
        <v>72.0</v>
      </c>
      <c r="G190" s="68">
        <f t="shared" si="27"/>
        <v>28800</v>
      </c>
      <c r="H190" s="27"/>
      <c r="I190" s="28"/>
    </row>
    <row r="191" ht="15.75" customHeight="1">
      <c r="B191" s="20"/>
      <c r="C191" s="65" t="s">
        <v>262</v>
      </c>
      <c r="D191" s="65">
        <v>300.0</v>
      </c>
      <c r="E191" s="65"/>
      <c r="F191" s="65">
        <v>72.0</v>
      </c>
      <c r="G191" s="68">
        <f t="shared" si="27"/>
        <v>21600</v>
      </c>
      <c r="H191" s="27"/>
      <c r="I191" s="28"/>
    </row>
    <row r="192" ht="15.75" customHeight="1">
      <c r="B192" s="23"/>
      <c r="C192" s="65" t="s">
        <v>264</v>
      </c>
      <c r="D192" s="73">
        <v>600.0</v>
      </c>
      <c r="E192" s="73"/>
      <c r="F192" s="73">
        <v>90.0</v>
      </c>
      <c r="G192" s="68">
        <f t="shared" si="27"/>
        <v>54000</v>
      </c>
      <c r="H192" s="30"/>
      <c r="I192" s="31"/>
    </row>
    <row r="193" ht="15.75" customHeight="1">
      <c r="B193" s="83"/>
      <c r="C193" s="83"/>
      <c r="D193" s="83"/>
      <c r="E193" s="83"/>
      <c r="F193" s="83"/>
      <c r="G193" s="83"/>
      <c r="H193" s="83"/>
      <c r="I193" s="83"/>
    </row>
    <row r="194" ht="15.75" customHeight="1">
      <c r="B194" s="84">
        <v>46191.0</v>
      </c>
      <c r="C194" s="66" t="s">
        <v>268</v>
      </c>
      <c r="D194" s="66">
        <v>300.0</v>
      </c>
      <c r="E194" s="67"/>
      <c r="F194" s="66">
        <v>72.0</v>
      </c>
      <c r="G194" s="66">
        <f t="shared" ref="G194:G195" si="28">F194*D194</f>
        <v>21600</v>
      </c>
      <c r="H194" s="69">
        <f>G194+G195</f>
        <v>66960</v>
      </c>
      <c r="I194" s="70">
        <v>421.0</v>
      </c>
    </row>
    <row r="195" ht="15.75" customHeight="1">
      <c r="B195" s="23"/>
      <c r="C195" s="73" t="s">
        <v>260</v>
      </c>
      <c r="D195" s="73">
        <v>630.0</v>
      </c>
      <c r="E195" s="74"/>
      <c r="F195" s="73">
        <v>72.0</v>
      </c>
      <c r="G195" s="66">
        <f t="shared" si="28"/>
        <v>45360</v>
      </c>
      <c r="H195" s="30"/>
      <c r="I195" s="31"/>
    </row>
    <row r="196" ht="15.75" customHeight="1">
      <c r="B196" s="83"/>
      <c r="C196" s="83"/>
      <c r="D196" s="83"/>
      <c r="E196" s="83"/>
      <c r="F196" s="83"/>
      <c r="G196" s="83"/>
      <c r="H196" s="83"/>
      <c r="I196" s="83"/>
    </row>
    <row r="197" ht="15.75" customHeight="1">
      <c r="B197" s="76">
        <v>46197.0</v>
      </c>
      <c r="C197" s="65" t="s">
        <v>264</v>
      </c>
      <c r="D197" s="77">
        <v>600.0</v>
      </c>
      <c r="E197" s="79"/>
      <c r="F197" s="77">
        <v>90.0</v>
      </c>
      <c r="G197" s="81">
        <f>F197*D197</f>
        <v>54000</v>
      </c>
      <c r="H197" s="81">
        <f>G197</f>
        <v>54000</v>
      </c>
      <c r="I197" s="82">
        <v>427.0</v>
      </c>
    </row>
    <row r="198" ht="15.75" customHeight="1">
      <c r="B198" s="142"/>
      <c r="C198" s="133"/>
      <c r="D198" s="133"/>
      <c r="E198" s="83"/>
      <c r="F198" s="133"/>
      <c r="G198" s="133"/>
      <c r="H198" s="133"/>
      <c r="I198" s="133"/>
    </row>
    <row r="199" ht="15.75" customHeight="1">
      <c r="B199" s="120">
        <v>46209.0</v>
      </c>
      <c r="C199" s="65" t="s">
        <v>276</v>
      </c>
      <c r="D199" s="65">
        <v>50.0</v>
      </c>
      <c r="E199" s="71"/>
      <c r="F199" s="65">
        <v>68.0</v>
      </c>
      <c r="G199" s="65">
        <v>3400.0</v>
      </c>
      <c r="H199" s="65">
        <v>3400.0</v>
      </c>
      <c r="I199" s="65">
        <v>429.0</v>
      </c>
    </row>
    <row r="200" ht="15.75" customHeight="1"/>
    <row r="201" ht="15.75" customHeight="1">
      <c r="B201" s="84">
        <v>46217.0</v>
      </c>
      <c r="C201" s="65" t="s">
        <v>277</v>
      </c>
      <c r="D201" s="65">
        <v>300.0</v>
      </c>
      <c r="E201" s="71"/>
      <c r="F201" s="65">
        <v>50.0</v>
      </c>
      <c r="G201" s="65">
        <v>15000.0</v>
      </c>
      <c r="H201" s="69">
        <f>G201+G202</f>
        <v>30000</v>
      </c>
      <c r="I201" s="70">
        <v>430.0</v>
      </c>
    </row>
    <row r="202" ht="15.75" customHeight="1">
      <c r="B202" s="23"/>
      <c r="C202" s="65" t="s">
        <v>281</v>
      </c>
      <c r="D202" s="65">
        <v>300.0</v>
      </c>
      <c r="E202" s="71"/>
      <c r="F202" s="65">
        <v>50.0</v>
      </c>
      <c r="G202" s="65">
        <v>15000.0</v>
      </c>
      <c r="H202" s="30"/>
      <c r="I202" s="31"/>
    </row>
    <row r="203" ht="15.75" customHeight="1">
      <c r="B203" s="83"/>
      <c r="C203" s="83"/>
      <c r="D203" s="83"/>
      <c r="E203" s="83"/>
      <c r="F203" s="83"/>
      <c r="G203" s="83"/>
      <c r="H203" s="83"/>
      <c r="I203" s="83"/>
    </row>
    <row r="204" ht="15.75" customHeight="1">
      <c r="B204" s="84">
        <v>46231.0</v>
      </c>
      <c r="C204" s="65" t="s">
        <v>264</v>
      </c>
      <c r="D204" s="77">
        <v>300.0</v>
      </c>
      <c r="E204" s="79"/>
      <c r="F204" s="77">
        <v>90.0</v>
      </c>
      <c r="G204" s="66">
        <f>F204*D204</f>
        <v>27000</v>
      </c>
      <c r="H204" s="69">
        <f>G204+G205+G206</f>
        <v>27000</v>
      </c>
      <c r="I204" s="70">
        <v>432.0</v>
      </c>
    </row>
    <row r="205" ht="15.75" customHeight="1">
      <c r="B205" s="20"/>
      <c r="C205" s="118" t="s">
        <v>286</v>
      </c>
      <c r="D205" s="65">
        <v>30.0</v>
      </c>
      <c r="E205" s="71"/>
      <c r="F205" s="102">
        <v>0.0</v>
      </c>
      <c r="G205" s="66">
        <v>0.0</v>
      </c>
      <c r="H205" s="27"/>
      <c r="I205" s="28"/>
    </row>
    <row r="206" ht="15.75" customHeight="1">
      <c r="B206" s="23"/>
      <c r="C206" s="118" t="s">
        <v>287</v>
      </c>
      <c r="D206" s="73">
        <v>30.0</v>
      </c>
      <c r="E206" s="74"/>
      <c r="F206" s="73">
        <v>0.0</v>
      </c>
      <c r="G206" s="66">
        <f>F206*D206</f>
        <v>0</v>
      </c>
      <c r="H206" s="30"/>
      <c r="I206" s="31"/>
    </row>
    <row r="207" ht="15.75" customHeight="1">
      <c r="B207" s="83"/>
      <c r="C207" s="83"/>
      <c r="D207" s="83"/>
      <c r="E207" s="83"/>
      <c r="F207" s="83"/>
      <c r="G207" s="83"/>
      <c r="H207" s="83"/>
      <c r="I207" s="83"/>
    </row>
    <row r="208" ht="15.75" customHeight="1">
      <c r="B208" s="83"/>
      <c r="C208" s="83"/>
      <c r="D208" s="83"/>
      <c r="E208" s="83"/>
      <c r="F208" s="83"/>
      <c r="G208" s="83"/>
      <c r="H208" s="83"/>
      <c r="I208" s="83"/>
    </row>
    <row r="209" ht="15.75" customHeight="1">
      <c r="B209" s="83"/>
      <c r="C209" s="83"/>
      <c r="D209" s="83"/>
      <c r="E209" s="83"/>
      <c r="F209" s="83"/>
      <c r="G209" s="83"/>
      <c r="H209" s="83"/>
      <c r="I209" s="83"/>
    </row>
    <row r="210" ht="15.75" customHeight="1">
      <c r="B210" s="83"/>
      <c r="C210" s="83"/>
      <c r="D210" s="83"/>
      <c r="E210" s="83"/>
      <c r="F210" s="83"/>
      <c r="G210" s="83"/>
      <c r="H210" s="83"/>
      <c r="I210" s="83"/>
    </row>
    <row r="211" ht="15.75" customHeight="1">
      <c r="B211" s="83"/>
      <c r="C211" s="83"/>
      <c r="D211" s="83"/>
      <c r="E211" s="83"/>
      <c r="F211" s="83"/>
      <c r="G211" s="83"/>
      <c r="H211" s="83"/>
      <c r="I211" s="83"/>
    </row>
    <row r="212" ht="15.75" customHeight="1">
      <c r="B212" s="83"/>
      <c r="C212" s="83"/>
      <c r="D212" s="83"/>
      <c r="E212" s="83"/>
      <c r="F212" s="83"/>
      <c r="G212" s="83"/>
      <c r="H212" s="83"/>
      <c r="I212" s="83"/>
    </row>
    <row r="213" ht="15.75" customHeight="1">
      <c r="B213" s="83"/>
      <c r="C213" s="83"/>
      <c r="D213" s="83"/>
      <c r="E213" s="83"/>
      <c r="F213" s="83"/>
      <c r="G213" s="83"/>
      <c r="H213" s="83"/>
      <c r="I213" s="83"/>
    </row>
    <row r="214" ht="15.75" customHeight="1">
      <c r="B214" s="83"/>
      <c r="C214" s="83"/>
      <c r="D214" s="83"/>
      <c r="E214" s="83"/>
      <c r="F214" s="83"/>
      <c r="G214" s="83"/>
      <c r="H214" s="83"/>
      <c r="I214" s="83"/>
    </row>
    <row r="215" ht="15.75" customHeight="1">
      <c r="B215" s="83"/>
      <c r="C215" s="83"/>
      <c r="D215" s="83"/>
      <c r="E215" s="83"/>
      <c r="F215" s="83"/>
      <c r="G215" s="83"/>
      <c r="H215" s="83"/>
      <c r="I215" s="83"/>
    </row>
    <row r="216" ht="15.75" customHeight="1">
      <c r="B216" s="83"/>
      <c r="C216" s="83"/>
      <c r="D216" s="83"/>
      <c r="E216" s="83"/>
      <c r="F216" s="83"/>
      <c r="G216" s="83"/>
      <c r="H216" s="83"/>
      <c r="I216" s="83"/>
    </row>
    <row r="217" ht="15.75" customHeight="1">
      <c r="B217" s="83"/>
      <c r="C217" s="83"/>
      <c r="D217" s="83"/>
      <c r="E217" s="83"/>
      <c r="F217" s="83"/>
      <c r="G217" s="83"/>
      <c r="H217" s="83"/>
      <c r="I217" s="83"/>
    </row>
    <row r="218" ht="15.75" customHeight="1">
      <c r="B218" s="83"/>
      <c r="C218" s="83"/>
      <c r="D218" s="83"/>
      <c r="E218" s="83"/>
      <c r="F218" s="83"/>
      <c r="G218" s="83"/>
      <c r="H218" s="83"/>
      <c r="I218" s="83"/>
    </row>
    <row r="219" ht="15.75" customHeight="1">
      <c r="B219" s="83"/>
      <c r="C219" s="83"/>
      <c r="D219" s="83"/>
      <c r="E219" s="83"/>
      <c r="F219" s="83"/>
      <c r="G219" s="83"/>
      <c r="H219" s="83"/>
      <c r="I219" s="83"/>
    </row>
    <row r="220" ht="15.75" customHeight="1">
      <c r="B220" s="83"/>
      <c r="C220" s="83"/>
      <c r="D220" s="83"/>
      <c r="E220" s="83"/>
      <c r="F220" s="83"/>
      <c r="G220" s="83"/>
      <c r="H220" s="83"/>
      <c r="I220" s="83"/>
    </row>
    <row r="221" ht="15.75" customHeight="1">
      <c r="B221" s="83"/>
      <c r="C221" s="83"/>
      <c r="D221" s="83"/>
      <c r="E221" s="83"/>
      <c r="F221" s="83"/>
      <c r="G221" s="83"/>
      <c r="H221" s="83"/>
      <c r="I221" s="83"/>
    </row>
    <row r="222" ht="15.75" customHeight="1">
      <c r="B222" s="83"/>
      <c r="C222" s="83"/>
      <c r="D222" s="83"/>
      <c r="E222" s="83"/>
      <c r="F222" s="83"/>
      <c r="G222" s="83"/>
      <c r="H222" s="83"/>
      <c r="I222" s="83"/>
    </row>
    <row r="223" ht="15.75" customHeight="1">
      <c r="B223" s="83"/>
      <c r="C223" s="83"/>
      <c r="D223" s="83"/>
      <c r="E223" s="83"/>
      <c r="F223" s="83"/>
      <c r="G223" s="83"/>
      <c r="H223" s="83"/>
      <c r="I223" s="83"/>
    </row>
    <row r="224" ht="15.75" customHeight="1">
      <c r="B224" s="83"/>
      <c r="C224" s="83"/>
      <c r="D224" s="83"/>
      <c r="E224" s="83"/>
      <c r="F224" s="83"/>
      <c r="G224" s="83"/>
      <c r="H224" s="83"/>
      <c r="I224" s="83"/>
    </row>
    <row r="225" ht="15.75" customHeight="1">
      <c r="B225" s="83"/>
      <c r="C225" s="83"/>
      <c r="D225" s="83"/>
      <c r="E225" s="83"/>
      <c r="F225" s="83"/>
      <c r="G225" s="83"/>
      <c r="H225" s="83"/>
      <c r="I225" s="83"/>
    </row>
    <row r="226" ht="15.75" customHeight="1">
      <c r="B226" s="83"/>
      <c r="C226" s="83"/>
      <c r="D226" s="83"/>
      <c r="E226" s="83"/>
      <c r="F226" s="83"/>
      <c r="G226" s="83"/>
      <c r="H226" s="83"/>
      <c r="I226" s="83"/>
    </row>
    <row r="227" ht="15.75" customHeight="1">
      <c r="B227" s="83"/>
      <c r="C227" s="83"/>
      <c r="D227" s="83"/>
      <c r="E227" s="83"/>
      <c r="F227" s="83"/>
      <c r="G227" s="83"/>
      <c r="H227" s="83"/>
      <c r="I227" s="83"/>
    </row>
    <row r="228" ht="15.75" customHeight="1">
      <c r="B228" s="83"/>
      <c r="C228" s="83"/>
      <c r="D228" s="83"/>
      <c r="E228" s="83"/>
      <c r="F228" s="83"/>
      <c r="G228" s="83"/>
      <c r="H228" s="83"/>
      <c r="I228" s="83"/>
    </row>
    <row r="229" ht="15.75" customHeight="1">
      <c r="B229" s="83"/>
      <c r="C229" s="83"/>
      <c r="D229" s="83"/>
      <c r="E229" s="83"/>
      <c r="F229" s="83"/>
      <c r="G229" s="83"/>
      <c r="H229" s="83"/>
      <c r="I229" s="83"/>
    </row>
    <row r="230" ht="15.75" customHeight="1">
      <c r="B230" s="83"/>
      <c r="C230" s="83"/>
      <c r="D230" s="83"/>
      <c r="E230" s="83"/>
      <c r="F230" s="83"/>
      <c r="G230" s="83"/>
      <c r="H230" s="83"/>
      <c r="I230" s="83"/>
    </row>
    <row r="231" ht="15.75" customHeight="1">
      <c r="B231" s="83"/>
      <c r="C231" s="83"/>
      <c r="D231" s="83"/>
      <c r="E231" s="83"/>
      <c r="F231" s="83"/>
      <c r="G231" s="83"/>
      <c r="H231" s="83"/>
      <c r="I231" s="83"/>
    </row>
    <row r="232" ht="15.75" customHeight="1">
      <c r="B232" s="83"/>
      <c r="C232" s="83"/>
      <c r="D232" s="83"/>
      <c r="E232" s="83"/>
      <c r="F232" s="83"/>
      <c r="G232" s="83"/>
      <c r="H232" s="83"/>
      <c r="I232" s="83"/>
    </row>
    <row r="233" ht="15.75" customHeight="1">
      <c r="B233" s="83"/>
      <c r="C233" s="83"/>
      <c r="D233" s="83"/>
      <c r="E233" s="83"/>
      <c r="F233" s="83"/>
      <c r="G233" s="83"/>
      <c r="H233" s="83"/>
      <c r="I233" s="83"/>
    </row>
    <row r="234" ht="15.75" customHeight="1">
      <c r="B234" s="83"/>
      <c r="C234" s="83"/>
      <c r="D234" s="83"/>
      <c r="E234" s="83"/>
      <c r="F234" s="83"/>
      <c r="G234" s="83"/>
      <c r="H234" s="83"/>
      <c r="I234" s="83"/>
    </row>
    <row r="235" ht="15.75" customHeight="1">
      <c r="B235" s="83"/>
      <c r="C235" s="83"/>
      <c r="D235" s="83"/>
      <c r="E235" s="83"/>
      <c r="F235" s="83"/>
      <c r="G235" s="83"/>
      <c r="H235" s="83"/>
      <c r="I235" s="83"/>
    </row>
    <row r="236" ht="15.75" customHeight="1">
      <c r="B236" s="83"/>
      <c r="C236" s="83"/>
      <c r="D236" s="83"/>
      <c r="E236" s="83"/>
      <c r="F236" s="83"/>
      <c r="G236" s="83"/>
      <c r="H236" s="83"/>
      <c r="I236" s="83"/>
    </row>
    <row r="237" ht="15.75" customHeight="1">
      <c r="B237" s="83"/>
      <c r="C237" s="83"/>
      <c r="D237" s="83"/>
      <c r="E237" s="83"/>
      <c r="F237" s="83"/>
      <c r="G237" s="83"/>
      <c r="H237" s="83"/>
      <c r="I237" s="83"/>
    </row>
    <row r="238" ht="15.75" customHeight="1">
      <c r="B238" s="83"/>
      <c r="C238" s="83"/>
      <c r="D238" s="83"/>
      <c r="E238" s="83"/>
      <c r="F238" s="83"/>
      <c r="G238" s="83"/>
      <c r="H238" s="83"/>
      <c r="I238" s="83"/>
    </row>
    <row r="239" ht="15.75" customHeight="1">
      <c r="B239" s="83"/>
      <c r="C239" s="83"/>
      <c r="D239" s="83"/>
      <c r="E239" s="83"/>
      <c r="F239" s="83"/>
      <c r="G239" s="83"/>
      <c r="H239" s="83"/>
      <c r="I239" s="83"/>
    </row>
    <row r="240" ht="15.75" customHeight="1">
      <c r="B240" s="83"/>
      <c r="C240" s="83"/>
      <c r="D240" s="83"/>
      <c r="E240" s="83"/>
      <c r="F240" s="83"/>
      <c r="G240" s="83"/>
      <c r="H240" s="83"/>
      <c r="I240" s="83"/>
    </row>
    <row r="241" ht="15.75" customHeight="1">
      <c r="B241" s="83"/>
      <c r="C241" s="83"/>
      <c r="D241" s="83"/>
      <c r="E241" s="83"/>
      <c r="F241" s="83"/>
      <c r="G241" s="83"/>
      <c r="H241" s="83"/>
      <c r="I241" s="83"/>
    </row>
    <row r="242" ht="15.75" customHeight="1">
      <c r="B242" s="83"/>
      <c r="C242" s="83"/>
      <c r="D242" s="83"/>
      <c r="E242" s="83"/>
      <c r="F242" s="83"/>
      <c r="G242" s="83"/>
      <c r="H242" s="83"/>
      <c r="I242" s="83"/>
    </row>
    <row r="243" ht="15.75" customHeight="1">
      <c r="B243" s="83"/>
      <c r="C243" s="83"/>
      <c r="D243" s="83"/>
      <c r="E243" s="83"/>
      <c r="F243" s="83"/>
      <c r="G243" s="83"/>
      <c r="H243" s="83"/>
      <c r="I243" s="83"/>
    </row>
    <row r="244" ht="15.75" customHeight="1">
      <c r="B244" s="83"/>
      <c r="C244" s="83"/>
      <c r="D244" s="83"/>
      <c r="E244" s="83"/>
      <c r="F244" s="83"/>
      <c r="G244" s="83"/>
      <c r="H244" s="83"/>
      <c r="I244" s="83"/>
    </row>
    <row r="245" ht="15.75" customHeight="1">
      <c r="B245" s="83"/>
      <c r="C245" s="83"/>
      <c r="D245" s="83"/>
      <c r="E245" s="83"/>
      <c r="F245" s="83"/>
      <c r="G245" s="83"/>
      <c r="H245" s="83"/>
      <c r="I245" s="83"/>
    </row>
    <row r="246" ht="15.75" customHeight="1">
      <c r="B246" s="83"/>
      <c r="C246" s="83"/>
      <c r="D246" s="83"/>
      <c r="E246" s="83"/>
      <c r="F246" s="83"/>
      <c r="G246" s="83"/>
      <c r="H246" s="83"/>
      <c r="I246" s="83"/>
    </row>
    <row r="247" ht="15.75" customHeight="1">
      <c r="B247" s="83"/>
      <c r="C247" s="83"/>
      <c r="D247" s="83"/>
      <c r="E247" s="83"/>
      <c r="F247" s="83"/>
      <c r="G247" s="83"/>
      <c r="H247" s="83"/>
      <c r="I247" s="83"/>
    </row>
    <row r="248" ht="15.75" customHeight="1">
      <c r="B248" s="83"/>
      <c r="C248" s="83"/>
      <c r="D248" s="83"/>
      <c r="E248" s="83"/>
      <c r="F248" s="83"/>
      <c r="G248" s="83"/>
      <c r="H248" s="83"/>
      <c r="I248" s="83"/>
    </row>
    <row r="249" ht="15.75" customHeight="1">
      <c r="B249" s="83"/>
      <c r="C249" s="83"/>
      <c r="D249" s="83"/>
      <c r="E249" s="83"/>
      <c r="F249" s="83"/>
      <c r="G249" s="83"/>
      <c r="H249" s="83"/>
      <c r="I249" s="83"/>
    </row>
    <row r="250" ht="15.75" customHeight="1">
      <c r="B250" s="83"/>
      <c r="C250" s="83"/>
      <c r="D250" s="83"/>
      <c r="E250" s="83"/>
      <c r="F250" s="83"/>
      <c r="G250" s="83"/>
      <c r="H250" s="83"/>
      <c r="I250" s="83"/>
    </row>
    <row r="251" ht="15.75" customHeight="1">
      <c r="B251" s="83"/>
      <c r="C251" s="83"/>
      <c r="D251" s="83"/>
      <c r="E251" s="83"/>
      <c r="F251" s="83"/>
      <c r="G251" s="83"/>
      <c r="H251" s="83"/>
      <c r="I251" s="83"/>
    </row>
    <row r="252" ht="15.75" customHeight="1">
      <c r="B252" s="83"/>
      <c r="C252" s="83"/>
      <c r="D252" s="83"/>
      <c r="E252" s="83"/>
      <c r="F252" s="83"/>
      <c r="G252" s="83"/>
      <c r="H252" s="83"/>
      <c r="I252" s="83"/>
    </row>
    <row r="253" ht="15.75" customHeight="1">
      <c r="B253" s="83"/>
      <c r="C253" s="83"/>
      <c r="D253" s="83"/>
      <c r="E253" s="83"/>
      <c r="F253" s="83"/>
      <c r="G253" s="83"/>
      <c r="H253" s="83"/>
      <c r="I253" s="83"/>
    </row>
    <row r="254" ht="15.75" customHeight="1">
      <c r="B254" s="83"/>
      <c r="C254" s="83"/>
      <c r="D254" s="83"/>
      <c r="E254" s="83"/>
      <c r="F254" s="83"/>
      <c r="G254" s="83"/>
      <c r="H254" s="83"/>
      <c r="I254" s="83"/>
    </row>
    <row r="255" ht="15.75" customHeight="1">
      <c r="B255" s="83"/>
      <c r="C255" s="83"/>
      <c r="D255" s="83"/>
      <c r="E255" s="83"/>
      <c r="F255" s="83"/>
      <c r="G255" s="83"/>
      <c r="H255" s="83"/>
      <c r="I255" s="83"/>
    </row>
    <row r="256" ht="15.75" customHeight="1">
      <c r="B256" s="83"/>
      <c r="C256" s="83"/>
      <c r="D256" s="83"/>
      <c r="E256" s="83"/>
      <c r="F256" s="83"/>
      <c r="G256" s="83"/>
      <c r="H256" s="83"/>
      <c r="I256" s="83"/>
    </row>
    <row r="257" ht="15.75" customHeight="1">
      <c r="B257" s="83"/>
      <c r="C257" s="83"/>
      <c r="D257" s="83"/>
      <c r="E257" s="83"/>
      <c r="F257" s="83"/>
      <c r="G257" s="83"/>
      <c r="H257" s="83"/>
      <c r="I257" s="83"/>
    </row>
    <row r="258" ht="15.75" customHeight="1">
      <c r="B258" s="83"/>
      <c r="C258" s="83"/>
      <c r="D258" s="83"/>
      <c r="E258" s="83"/>
      <c r="F258" s="83"/>
      <c r="G258" s="83"/>
      <c r="H258" s="83"/>
      <c r="I258" s="83"/>
    </row>
    <row r="259" ht="15.75" customHeight="1">
      <c r="B259" s="83"/>
      <c r="C259" s="83"/>
      <c r="D259" s="83"/>
      <c r="E259" s="83"/>
      <c r="F259" s="83"/>
      <c r="G259" s="83"/>
      <c r="H259" s="83"/>
      <c r="I259" s="83"/>
    </row>
    <row r="260" ht="15.75" customHeight="1">
      <c r="B260" s="83"/>
      <c r="C260" s="83"/>
      <c r="D260" s="83"/>
      <c r="E260" s="83"/>
      <c r="F260" s="83"/>
      <c r="G260" s="83"/>
      <c r="H260" s="83"/>
      <c r="I260" s="83"/>
    </row>
    <row r="261" ht="15.75" customHeight="1">
      <c r="B261" s="83"/>
      <c r="C261" s="83"/>
      <c r="D261" s="83"/>
      <c r="E261" s="83"/>
      <c r="F261" s="83"/>
      <c r="G261" s="83"/>
      <c r="H261" s="83"/>
      <c r="I261" s="83"/>
    </row>
    <row r="262" ht="15.75" customHeight="1">
      <c r="B262" s="83"/>
      <c r="C262" s="83"/>
      <c r="D262" s="83"/>
      <c r="E262" s="83"/>
      <c r="F262" s="83"/>
      <c r="G262" s="83"/>
      <c r="H262" s="83"/>
      <c r="I262" s="83"/>
    </row>
    <row r="263" ht="15.75" customHeight="1">
      <c r="B263" s="83"/>
      <c r="C263" s="83"/>
      <c r="D263" s="83"/>
      <c r="E263" s="83"/>
      <c r="F263" s="83"/>
      <c r="G263" s="83"/>
      <c r="H263" s="83"/>
      <c r="I263" s="83"/>
    </row>
    <row r="264" ht="15.75" customHeight="1">
      <c r="B264" s="83"/>
      <c r="C264" s="83"/>
      <c r="D264" s="83"/>
      <c r="E264" s="83"/>
      <c r="F264" s="83"/>
      <c r="G264" s="83"/>
      <c r="H264" s="83"/>
      <c r="I264" s="83"/>
    </row>
    <row r="265" ht="15.75" customHeight="1">
      <c r="B265" s="83"/>
      <c r="C265" s="83"/>
      <c r="D265" s="83"/>
      <c r="E265" s="83"/>
      <c r="F265" s="83"/>
      <c r="G265" s="83"/>
      <c r="H265" s="83"/>
      <c r="I265" s="83"/>
    </row>
    <row r="266" ht="15.75" customHeight="1">
      <c r="B266" s="83"/>
      <c r="C266" s="83"/>
      <c r="D266" s="83"/>
      <c r="E266" s="83"/>
      <c r="F266" s="83"/>
      <c r="G266" s="83"/>
      <c r="H266" s="83"/>
      <c r="I266" s="83"/>
    </row>
    <row r="267" ht="15.75" customHeight="1">
      <c r="B267" s="83"/>
      <c r="C267" s="83"/>
      <c r="D267" s="83"/>
      <c r="E267" s="83"/>
      <c r="F267" s="83"/>
      <c r="G267" s="83"/>
      <c r="H267" s="83"/>
      <c r="I267" s="83"/>
    </row>
    <row r="268" ht="15.75" customHeight="1">
      <c r="B268" s="83"/>
      <c r="C268" s="83"/>
      <c r="D268" s="83"/>
      <c r="E268" s="83"/>
      <c r="F268" s="83"/>
      <c r="G268" s="83"/>
      <c r="H268" s="83"/>
      <c r="I268" s="83"/>
    </row>
    <row r="269" ht="15.75" customHeight="1">
      <c r="B269" s="83"/>
      <c r="C269" s="83"/>
      <c r="D269" s="83"/>
      <c r="E269" s="83"/>
      <c r="F269" s="83"/>
      <c r="G269" s="83"/>
      <c r="H269" s="83"/>
      <c r="I269" s="83"/>
    </row>
    <row r="270" ht="15.75" customHeight="1">
      <c r="B270" s="83"/>
      <c r="C270" s="83"/>
      <c r="D270" s="83"/>
      <c r="E270" s="83"/>
      <c r="F270" s="83"/>
      <c r="G270" s="83"/>
      <c r="H270" s="83"/>
      <c r="I270" s="83"/>
    </row>
    <row r="271" ht="15.75" customHeight="1">
      <c r="B271" s="83"/>
      <c r="C271" s="83"/>
      <c r="D271" s="83"/>
      <c r="E271" s="83"/>
      <c r="F271" s="83"/>
      <c r="G271" s="83"/>
      <c r="H271" s="83"/>
      <c r="I271" s="83"/>
    </row>
    <row r="272" ht="15.75" customHeight="1">
      <c r="B272" s="83"/>
      <c r="C272" s="83"/>
      <c r="D272" s="83"/>
      <c r="E272" s="83"/>
      <c r="F272" s="83"/>
      <c r="G272" s="83"/>
      <c r="H272" s="83"/>
      <c r="I272" s="83"/>
    </row>
    <row r="273" ht="15.75" customHeight="1">
      <c r="B273" s="83"/>
      <c r="C273" s="83"/>
      <c r="D273" s="83"/>
      <c r="E273" s="83"/>
      <c r="F273" s="83"/>
      <c r="G273" s="83"/>
      <c r="H273" s="83"/>
      <c r="I273" s="83"/>
    </row>
    <row r="274" ht="15.75" customHeight="1">
      <c r="B274" s="83"/>
      <c r="C274" s="83"/>
      <c r="D274" s="83"/>
      <c r="E274" s="83"/>
      <c r="F274" s="83"/>
      <c r="G274" s="83"/>
      <c r="H274" s="83"/>
      <c r="I274" s="83"/>
    </row>
    <row r="275" ht="15.75" customHeight="1">
      <c r="B275" s="83"/>
      <c r="C275" s="83"/>
      <c r="D275" s="83"/>
      <c r="E275" s="83"/>
      <c r="F275" s="83"/>
      <c r="G275" s="83"/>
      <c r="H275" s="83"/>
      <c r="I275" s="83"/>
    </row>
    <row r="276" ht="15.75" customHeight="1">
      <c r="B276" s="83"/>
      <c r="C276" s="83"/>
      <c r="D276" s="83"/>
      <c r="E276" s="83"/>
      <c r="F276" s="83"/>
      <c r="G276" s="83"/>
      <c r="H276" s="83"/>
      <c r="I276" s="83"/>
    </row>
    <row r="277" ht="15.75" customHeight="1">
      <c r="B277" s="83"/>
      <c r="C277" s="83"/>
      <c r="D277" s="83"/>
      <c r="E277" s="83"/>
      <c r="F277" s="83"/>
      <c r="G277" s="83"/>
      <c r="H277" s="83"/>
      <c r="I277" s="83"/>
    </row>
    <row r="278" ht="15.75" customHeight="1">
      <c r="B278" s="83"/>
      <c r="C278" s="83"/>
      <c r="D278" s="83"/>
      <c r="E278" s="83"/>
      <c r="F278" s="83"/>
      <c r="G278" s="83"/>
      <c r="H278" s="83"/>
      <c r="I278" s="83"/>
    </row>
    <row r="279" ht="15.75" customHeight="1">
      <c r="B279" s="83"/>
      <c r="C279" s="83"/>
      <c r="D279" s="83"/>
      <c r="E279" s="83"/>
      <c r="F279" s="83"/>
      <c r="G279" s="83"/>
      <c r="H279" s="83"/>
      <c r="I279" s="83"/>
    </row>
    <row r="280" ht="15.75" customHeight="1">
      <c r="B280" s="83"/>
      <c r="C280" s="83"/>
      <c r="D280" s="83"/>
      <c r="E280" s="83"/>
      <c r="F280" s="83"/>
      <c r="G280" s="83"/>
      <c r="H280" s="83"/>
      <c r="I280" s="83"/>
    </row>
    <row r="281" ht="15.75" customHeight="1">
      <c r="B281" s="83"/>
      <c r="C281" s="83"/>
      <c r="D281" s="83"/>
      <c r="E281" s="83"/>
      <c r="F281" s="83"/>
      <c r="G281" s="83"/>
      <c r="H281" s="83"/>
      <c r="I281" s="83"/>
    </row>
    <row r="282" ht="15.75" customHeight="1">
      <c r="B282" s="83"/>
      <c r="C282" s="83"/>
      <c r="D282" s="83"/>
      <c r="E282" s="83"/>
      <c r="F282" s="83"/>
      <c r="G282" s="83"/>
      <c r="H282" s="83"/>
      <c r="I282" s="83"/>
    </row>
    <row r="283" ht="15.75" customHeight="1">
      <c r="B283" s="83"/>
      <c r="C283" s="83"/>
      <c r="D283" s="83"/>
      <c r="E283" s="83"/>
      <c r="F283" s="83"/>
      <c r="G283" s="83"/>
      <c r="H283" s="83"/>
      <c r="I283" s="83"/>
    </row>
    <row r="284" ht="15.75" customHeight="1">
      <c r="B284" s="83"/>
      <c r="C284" s="83"/>
      <c r="D284" s="83"/>
      <c r="E284" s="83"/>
      <c r="F284" s="83"/>
      <c r="G284" s="83"/>
      <c r="H284" s="83"/>
      <c r="I284" s="83"/>
    </row>
    <row r="285" ht="15.75" customHeight="1">
      <c r="B285" s="83"/>
      <c r="C285" s="83"/>
      <c r="D285" s="83"/>
      <c r="E285" s="83"/>
      <c r="F285" s="83"/>
      <c r="G285" s="83"/>
      <c r="H285" s="83"/>
      <c r="I285" s="83"/>
    </row>
    <row r="286" ht="15.75" customHeight="1">
      <c r="B286" s="83"/>
      <c r="C286" s="83"/>
      <c r="D286" s="83"/>
      <c r="E286" s="83"/>
      <c r="F286" s="83"/>
      <c r="G286" s="83"/>
      <c r="H286" s="83"/>
      <c r="I286" s="83"/>
    </row>
    <row r="287" ht="15.75" customHeight="1">
      <c r="B287" s="83"/>
      <c r="C287" s="83"/>
      <c r="D287" s="83"/>
      <c r="E287" s="83"/>
      <c r="F287" s="83"/>
      <c r="G287" s="83"/>
      <c r="H287" s="83"/>
      <c r="I287" s="83"/>
    </row>
    <row r="288" ht="15.75" customHeight="1">
      <c r="B288" s="83"/>
      <c r="C288" s="83"/>
      <c r="D288" s="83"/>
      <c r="E288" s="83"/>
      <c r="F288" s="83"/>
      <c r="G288" s="83"/>
      <c r="H288" s="83"/>
      <c r="I288" s="83"/>
    </row>
    <row r="289" ht="15.75" customHeight="1">
      <c r="B289" s="83"/>
      <c r="C289" s="83"/>
      <c r="D289" s="83"/>
      <c r="E289" s="83"/>
      <c r="F289" s="83"/>
      <c r="G289" s="83"/>
      <c r="H289" s="83"/>
      <c r="I289" s="83"/>
    </row>
    <row r="290" ht="15.75" customHeight="1">
      <c r="B290" s="83"/>
      <c r="C290" s="83"/>
      <c r="D290" s="83"/>
      <c r="E290" s="83"/>
      <c r="F290" s="83"/>
      <c r="G290" s="83"/>
      <c r="H290" s="83"/>
      <c r="I290" s="83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9">
    <mergeCell ref="B43:B44"/>
    <mergeCell ref="B46:B47"/>
    <mergeCell ref="B53:B54"/>
    <mergeCell ref="B56:B57"/>
    <mergeCell ref="B59:B60"/>
    <mergeCell ref="B62:B64"/>
    <mergeCell ref="B66:B69"/>
    <mergeCell ref="B71:B73"/>
    <mergeCell ref="B75:B77"/>
    <mergeCell ref="B79:B81"/>
    <mergeCell ref="B83:B87"/>
    <mergeCell ref="B89:B90"/>
    <mergeCell ref="B92:B95"/>
    <mergeCell ref="B99:B100"/>
    <mergeCell ref="B102:B103"/>
    <mergeCell ref="B105:B107"/>
    <mergeCell ref="B109:B112"/>
    <mergeCell ref="B114:B117"/>
    <mergeCell ref="B119:B121"/>
    <mergeCell ref="B123:B124"/>
    <mergeCell ref="B126:B132"/>
    <mergeCell ref="B134:B136"/>
    <mergeCell ref="B140:B142"/>
    <mergeCell ref="B144:B145"/>
    <mergeCell ref="B147:B149"/>
    <mergeCell ref="B151:B153"/>
    <mergeCell ref="B155:B156"/>
    <mergeCell ref="B158:B159"/>
    <mergeCell ref="B201:B202"/>
    <mergeCell ref="B204:B206"/>
    <mergeCell ref="B165:B168"/>
    <mergeCell ref="B174:B176"/>
    <mergeCell ref="B178:B180"/>
    <mergeCell ref="B182:B183"/>
    <mergeCell ref="B185:B187"/>
    <mergeCell ref="B189:B192"/>
    <mergeCell ref="B194:B195"/>
    <mergeCell ref="B1:I1"/>
    <mergeCell ref="B3:B4"/>
    <mergeCell ref="H3:H4"/>
    <mergeCell ref="I3:I4"/>
    <mergeCell ref="B8:B10"/>
    <mergeCell ref="I8:I10"/>
    <mergeCell ref="I14:I15"/>
    <mergeCell ref="H8:H10"/>
    <mergeCell ref="H14:H15"/>
    <mergeCell ref="H17:H18"/>
    <mergeCell ref="I17:I18"/>
    <mergeCell ref="H20:H23"/>
    <mergeCell ref="I20:I23"/>
    <mergeCell ref="I25:I26"/>
    <mergeCell ref="H25:H26"/>
    <mergeCell ref="H28:H29"/>
    <mergeCell ref="I28:I29"/>
    <mergeCell ref="H31:H35"/>
    <mergeCell ref="I31:I35"/>
    <mergeCell ref="H37:H41"/>
    <mergeCell ref="I37:I41"/>
    <mergeCell ref="B14:B15"/>
    <mergeCell ref="B17:B18"/>
    <mergeCell ref="B20:B23"/>
    <mergeCell ref="B25:B26"/>
    <mergeCell ref="B28:B29"/>
    <mergeCell ref="B31:B35"/>
    <mergeCell ref="B37:B41"/>
    <mergeCell ref="H43:H44"/>
    <mergeCell ref="I43:I44"/>
    <mergeCell ref="H46:H47"/>
    <mergeCell ref="I46:I47"/>
    <mergeCell ref="H53:H54"/>
    <mergeCell ref="I53:I54"/>
    <mergeCell ref="I56:I57"/>
    <mergeCell ref="H83:H87"/>
    <mergeCell ref="H89:H90"/>
    <mergeCell ref="H92:H95"/>
    <mergeCell ref="I89:I90"/>
    <mergeCell ref="I92:I95"/>
    <mergeCell ref="H144:H145"/>
    <mergeCell ref="H147:H149"/>
    <mergeCell ref="I147:I149"/>
    <mergeCell ref="H151:H153"/>
    <mergeCell ref="I151:I153"/>
    <mergeCell ref="H155:H156"/>
    <mergeCell ref="I155:I156"/>
    <mergeCell ref="H158:H159"/>
    <mergeCell ref="I158:I159"/>
    <mergeCell ref="H165:H168"/>
    <mergeCell ref="I165:I168"/>
    <mergeCell ref="H174:H176"/>
    <mergeCell ref="I174:I176"/>
    <mergeCell ref="I178:I180"/>
    <mergeCell ref="H56:H57"/>
    <mergeCell ref="H59:H60"/>
    <mergeCell ref="I59:I60"/>
    <mergeCell ref="H62:H64"/>
    <mergeCell ref="I62:I64"/>
    <mergeCell ref="H66:H69"/>
    <mergeCell ref="I66:I69"/>
    <mergeCell ref="H71:H73"/>
    <mergeCell ref="I71:I73"/>
    <mergeCell ref="H75:H77"/>
    <mergeCell ref="I75:I77"/>
    <mergeCell ref="H79:H81"/>
    <mergeCell ref="I79:I81"/>
    <mergeCell ref="I83:I87"/>
    <mergeCell ref="H99:H100"/>
    <mergeCell ref="I99:I100"/>
    <mergeCell ref="H102:H103"/>
    <mergeCell ref="I102:I103"/>
    <mergeCell ref="H105:H107"/>
    <mergeCell ref="I105:I107"/>
    <mergeCell ref="I109:I112"/>
    <mergeCell ref="H109:H112"/>
    <mergeCell ref="H114:H117"/>
    <mergeCell ref="I114:I117"/>
    <mergeCell ref="H119:H121"/>
    <mergeCell ref="I119:I121"/>
    <mergeCell ref="H123:H124"/>
    <mergeCell ref="I123:I124"/>
    <mergeCell ref="H126:H132"/>
    <mergeCell ref="I126:I132"/>
    <mergeCell ref="H134:H136"/>
    <mergeCell ref="I134:I136"/>
    <mergeCell ref="H140:H142"/>
    <mergeCell ref="I140:I142"/>
    <mergeCell ref="I144:I145"/>
    <mergeCell ref="H178:H180"/>
    <mergeCell ref="H182:H183"/>
    <mergeCell ref="H185:H187"/>
    <mergeCell ref="H189:H192"/>
    <mergeCell ref="H194:H195"/>
    <mergeCell ref="H201:H202"/>
    <mergeCell ref="H204:H206"/>
    <mergeCell ref="I182:I183"/>
    <mergeCell ref="I185:I187"/>
    <mergeCell ref="I189:I192"/>
    <mergeCell ref="I194:I195"/>
    <mergeCell ref="I201:I202"/>
    <mergeCell ref="I204:I20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1.0"/>
    <col customWidth="1" min="3" max="3" width="28.14"/>
    <col customWidth="1" min="4" max="4" width="13.43"/>
    <col customWidth="1" min="5" max="5" width="10.71"/>
    <col customWidth="1" min="6" max="6" width="12.29"/>
    <col customWidth="1" min="7" max="26" width="10.71"/>
  </cols>
  <sheetData>
    <row r="1" ht="21.0" customHeight="1">
      <c r="B1" s="1" t="s">
        <v>0</v>
      </c>
      <c r="C1" s="2"/>
      <c r="D1" s="2"/>
      <c r="E1" s="2"/>
      <c r="F1" s="2"/>
      <c r="G1" s="2"/>
      <c r="H1" s="2"/>
      <c r="I1" s="3"/>
    </row>
    <row r="2">
      <c r="B2" s="4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8" t="s">
        <v>11</v>
      </c>
    </row>
    <row r="3">
      <c r="B3" s="9">
        <v>46025.0</v>
      </c>
      <c r="C3" s="10" t="s">
        <v>12</v>
      </c>
      <c r="D3" s="10">
        <v>400.0</v>
      </c>
      <c r="E3" s="12"/>
      <c r="F3" s="10">
        <v>72.0</v>
      </c>
      <c r="G3" s="17">
        <f t="shared" ref="G3:G6" si="1">+F3*D3</f>
        <v>28800</v>
      </c>
      <c r="H3" s="18">
        <f>+G3+G4+G5+G6</f>
        <v>75900</v>
      </c>
      <c r="I3" s="19">
        <v>168.0</v>
      </c>
    </row>
    <row r="4">
      <c r="B4" s="20"/>
      <c r="C4" s="8" t="s">
        <v>16</v>
      </c>
      <c r="D4" s="8">
        <v>400.0</v>
      </c>
      <c r="E4" s="22"/>
      <c r="F4" s="8">
        <v>60.0</v>
      </c>
      <c r="G4" s="26">
        <f t="shared" si="1"/>
        <v>24000</v>
      </c>
      <c r="H4" s="27"/>
      <c r="I4" s="28"/>
    </row>
    <row r="5">
      <c r="B5" s="20"/>
      <c r="C5" s="16" t="s">
        <v>20</v>
      </c>
      <c r="D5" s="16">
        <v>200.0</v>
      </c>
      <c r="E5" s="32"/>
      <c r="F5" s="16">
        <v>60.0</v>
      </c>
      <c r="G5" s="26">
        <f t="shared" si="1"/>
        <v>12000</v>
      </c>
      <c r="H5" s="27"/>
      <c r="I5" s="28"/>
    </row>
    <row r="6">
      <c r="B6" s="23"/>
      <c r="C6" s="33" t="s">
        <v>23</v>
      </c>
      <c r="D6" s="33">
        <v>185.0</v>
      </c>
      <c r="E6" s="25"/>
      <c r="F6" s="33">
        <v>60.0</v>
      </c>
      <c r="G6" s="29">
        <f t="shared" si="1"/>
        <v>11100</v>
      </c>
      <c r="H6" s="30"/>
      <c r="I6" s="31"/>
    </row>
    <row r="8">
      <c r="B8" s="39">
        <v>46028.0</v>
      </c>
      <c r="C8" s="24" t="s">
        <v>24</v>
      </c>
      <c r="D8" s="24">
        <v>400.0</v>
      </c>
      <c r="E8" s="25"/>
      <c r="F8" s="24">
        <v>75.0</v>
      </c>
      <c r="G8" s="29">
        <f>+F8*D8</f>
        <v>30000</v>
      </c>
      <c r="H8" s="41">
        <f>G8</f>
        <v>30000</v>
      </c>
      <c r="I8" s="42">
        <v>176.0</v>
      </c>
    </row>
    <row r="10">
      <c r="B10" s="14">
        <v>46030.0</v>
      </c>
      <c r="C10" s="10" t="s">
        <v>12</v>
      </c>
      <c r="D10" s="15">
        <v>500.0</v>
      </c>
      <c r="E10" s="12"/>
      <c r="F10" s="10">
        <v>72.0</v>
      </c>
      <c r="G10" s="17">
        <f t="shared" ref="G10:G13" si="2">+F10*D10</f>
        <v>36000</v>
      </c>
      <c r="H10" s="18">
        <f>+G10+G11+G12+G13</f>
        <v>90000</v>
      </c>
      <c r="I10" s="21">
        <v>180.0</v>
      </c>
    </row>
    <row r="11">
      <c r="B11" s="20"/>
      <c r="C11" s="8" t="s">
        <v>16</v>
      </c>
      <c r="D11" s="40">
        <v>200.0</v>
      </c>
      <c r="E11" s="22"/>
      <c r="F11" s="8">
        <v>60.0</v>
      </c>
      <c r="G11" s="26">
        <f t="shared" si="2"/>
        <v>12000</v>
      </c>
      <c r="H11" s="27"/>
      <c r="I11" s="28"/>
    </row>
    <row r="12">
      <c r="B12" s="20"/>
      <c r="C12" s="16" t="s">
        <v>20</v>
      </c>
      <c r="D12" s="16">
        <v>200.0</v>
      </c>
      <c r="E12" s="32"/>
      <c r="F12" s="16">
        <v>60.0</v>
      </c>
      <c r="G12" s="26">
        <f t="shared" si="2"/>
        <v>12000</v>
      </c>
      <c r="H12" s="27"/>
      <c r="I12" s="28"/>
    </row>
    <row r="13">
      <c r="B13" s="23"/>
      <c r="C13" s="24" t="s">
        <v>30</v>
      </c>
      <c r="D13" s="24">
        <v>500.0</v>
      </c>
      <c r="E13" s="25"/>
      <c r="F13" s="33">
        <v>60.0</v>
      </c>
      <c r="G13" s="29">
        <f t="shared" si="2"/>
        <v>30000</v>
      </c>
      <c r="H13" s="30"/>
      <c r="I13" s="31"/>
    </row>
    <row r="15" ht="15.75" customHeight="1">
      <c r="B15" s="14">
        <v>46033.0</v>
      </c>
      <c r="C15" s="15" t="s">
        <v>33</v>
      </c>
      <c r="D15" s="15">
        <v>300.0</v>
      </c>
      <c r="E15" s="12"/>
      <c r="F15" s="10">
        <v>72.0</v>
      </c>
      <c r="G15" s="17">
        <f t="shared" ref="G15:G17" si="3">+F15*D15</f>
        <v>21600</v>
      </c>
      <c r="H15" s="18">
        <f>G15+G16+G17</f>
        <v>57600</v>
      </c>
      <c r="I15" s="21">
        <v>183.0</v>
      </c>
    </row>
    <row r="16" ht="15.75" customHeight="1">
      <c r="B16" s="20"/>
      <c r="C16" s="16" t="s">
        <v>20</v>
      </c>
      <c r="D16" s="45">
        <v>400.0</v>
      </c>
      <c r="E16" s="32"/>
      <c r="F16" s="16">
        <v>60.0</v>
      </c>
      <c r="G16" s="26">
        <f t="shared" si="3"/>
        <v>24000</v>
      </c>
      <c r="H16" s="27"/>
      <c r="I16" s="28"/>
    </row>
    <row r="17" ht="15.75" customHeight="1">
      <c r="B17" s="23"/>
      <c r="C17" s="8" t="s">
        <v>16</v>
      </c>
      <c r="D17" s="24">
        <v>200.0</v>
      </c>
      <c r="E17" s="25"/>
      <c r="F17" s="33">
        <v>60.0</v>
      </c>
      <c r="G17" s="29">
        <f t="shared" si="3"/>
        <v>12000</v>
      </c>
      <c r="H17" s="30"/>
      <c r="I17" s="31"/>
    </row>
    <row r="18" ht="15.75" customHeight="1"/>
    <row r="19" ht="15.75" customHeight="1">
      <c r="B19" s="14">
        <v>46040.0</v>
      </c>
      <c r="C19" s="15" t="s">
        <v>39</v>
      </c>
      <c r="D19" s="15">
        <v>100.0</v>
      </c>
      <c r="E19" s="12"/>
      <c r="F19" s="15">
        <v>60.0</v>
      </c>
      <c r="G19" s="17">
        <f t="shared" ref="G19:G21" si="4">+F19*D19</f>
        <v>6000</v>
      </c>
      <c r="H19" s="18">
        <f>G19+G20+G21</f>
        <v>60000</v>
      </c>
      <c r="I19" s="21">
        <v>191.0</v>
      </c>
    </row>
    <row r="20" ht="15.75" customHeight="1">
      <c r="B20" s="20"/>
      <c r="C20" s="16" t="s">
        <v>20</v>
      </c>
      <c r="D20" s="45">
        <v>800.0</v>
      </c>
      <c r="E20" s="32"/>
      <c r="F20" s="16">
        <v>60.0</v>
      </c>
      <c r="G20" s="26">
        <f t="shared" si="4"/>
        <v>48000</v>
      </c>
      <c r="H20" s="27"/>
      <c r="I20" s="28"/>
    </row>
    <row r="21" ht="15.75" customHeight="1">
      <c r="B21" s="23"/>
      <c r="C21" s="15" t="s">
        <v>42</v>
      </c>
      <c r="D21" s="24">
        <v>100.0</v>
      </c>
      <c r="E21" s="25"/>
      <c r="F21" s="33">
        <v>60.0</v>
      </c>
      <c r="G21" s="29">
        <f t="shared" si="4"/>
        <v>6000</v>
      </c>
      <c r="H21" s="30"/>
      <c r="I21" s="31"/>
    </row>
    <row r="22" ht="15.75" customHeight="1"/>
    <row r="23">
      <c r="B23" s="39">
        <v>46042.0</v>
      </c>
      <c r="C23" s="8" t="s">
        <v>20</v>
      </c>
      <c r="D23" s="24">
        <v>700.0</v>
      </c>
      <c r="E23" s="25"/>
      <c r="F23" s="24">
        <v>60.0</v>
      </c>
      <c r="G23" s="29">
        <f>+F23*D23</f>
        <v>42000</v>
      </c>
      <c r="H23" s="41">
        <f>G23</f>
        <v>42000</v>
      </c>
      <c r="I23" s="42">
        <v>194.0</v>
      </c>
    </row>
    <row r="24" ht="15.75" customHeight="1"/>
    <row r="25" ht="15.75" customHeight="1">
      <c r="B25" s="14">
        <v>46043.0</v>
      </c>
      <c r="C25" s="15" t="s">
        <v>43</v>
      </c>
      <c r="D25" s="15">
        <v>180.0</v>
      </c>
      <c r="E25" s="12"/>
      <c r="F25" s="15">
        <v>60.0</v>
      </c>
      <c r="G25" s="17">
        <f t="shared" ref="G25:G27" si="5">+F25*D25</f>
        <v>10800</v>
      </c>
      <c r="H25" s="18">
        <f>G25+G26+G27</f>
        <v>106800</v>
      </c>
      <c r="I25" s="21">
        <v>201.0</v>
      </c>
    </row>
    <row r="26" ht="15.75" customHeight="1">
      <c r="B26" s="20"/>
      <c r="C26" s="16" t="s">
        <v>20</v>
      </c>
      <c r="D26" s="45">
        <v>400.0</v>
      </c>
      <c r="E26" s="32"/>
      <c r="F26" s="16">
        <v>60.0</v>
      </c>
      <c r="G26" s="26">
        <f t="shared" si="5"/>
        <v>24000</v>
      </c>
      <c r="H26" s="27"/>
      <c r="I26" s="28"/>
    </row>
    <row r="27" ht="15.75" customHeight="1">
      <c r="B27" s="23"/>
      <c r="C27" s="10" t="s">
        <v>12</v>
      </c>
      <c r="D27" s="24">
        <v>1000.0</v>
      </c>
      <c r="E27" s="25"/>
      <c r="F27" s="24">
        <v>72.0</v>
      </c>
      <c r="G27" s="29">
        <f t="shared" si="5"/>
        <v>72000</v>
      </c>
      <c r="H27" s="30"/>
      <c r="I27" s="31"/>
    </row>
    <row r="28" ht="15.75" customHeight="1"/>
    <row r="29" ht="15.75" customHeight="1">
      <c r="B29" s="14">
        <v>46048.0</v>
      </c>
      <c r="C29" s="15" t="s">
        <v>45</v>
      </c>
      <c r="D29" s="15">
        <v>100.0</v>
      </c>
      <c r="E29" s="12"/>
      <c r="F29" s="15">
        <v>70.0</v>
      </c>
      <c r="G29" s="17">
        <f t="shared" ref="G29:G31" si="6">+F29*D29</f>
        <v>7000</v>
      </c>
      <c r="H29" s="18">
        <f>G29+G30+G31</f>
        <v>117400</v>
      </c>
      <c r="I29" s="21">
        <v>205.0</v>
      </c>
    </row>
    <row r="30" ht="15.75" customHeight="1">
      <c r="B30" s="20"/>
      <c r="C30" s="45" t="s">
        <v>50</v>
      </c>
      <c r="D30" s="45">
        <v>1000.0</v>
      </c>
      <c r="E30" s="32"/>
      <c r="F30" s="16">
        <v>60.0</v>
      </c>
      <c r="G30" s="26">
        <f t="shared" si="6"/>
        <v>60000</v>
      </c>
      <c r="H30" s="27"/>
      <c r="I30" s="28"/>
    </row>
    <row r="31" ht="15.75" customHeight="1">
      <c r="B31" s="23"/>
      <c r="C31" s="10" t="s">
        <v>12</v>
      </c>
      <c r="D31" s="24">
        <v>700.0</v>
      </c>
      <c r="E31" s="25"/>
      <c r="F31" s="24">
        <v>72.0</v>
      </c>
      <c r="G31" s="29">
        <f t="shared" si="6"/>
        <v>50400</v>
      </c>
      <c r="H31" s="30"/>
      <c r="I31" s="31"/>
    </row>
    <row r="32" ht="15.75" customHeight="1"/>
    <row r="33" ht="15.75" customHeight="1">
      <c r="B33" s="14">
        <v>46054.0</v>
      </c>
      <c r="C33" s="15" t="s">
        <v>52</v>
      </c>
      <c r="D33" s="15">
        <v>900.0</v>
      </c>
      <c r="E33" s="12"/>
      <c r="F33" s="15">
        <v>60.0</v>
      </c>
      <c r="G33" s="17">
        <f t="shared" ref="G33:G36" si="7">+F33*D33</f>
        <v>54000</v>
      </c>
      <c r="H33" s="18">
        <f>+G33+G34+G35+G36</f>
        <v>98000</v>
      </c>
      <c r="I33" s="21">
        <v>218.0</v>
      </c>
    </row>
    <row r="34" ht="15.75" customHeight="1">
      <c r="B34" s="20"/>
      <c r="C34" s="40" t="s">
        <v>54</v>
      </c>
      <c r="D34" s="40">
        <v>200.0</v>
      </c>
      <c r="E34" s="22"/>
      <c r="F34" s="8">
        <v>60.0</v>
      </c>
      <c r="G34" s="26">
        <f t="shared" si="7"/>
        <v>12000</v>
      </c>
      <c r="H34" s="27"/>
      <c r="I34" s="28"/>
    </row>
    <row r="35" ht="15.75" customHeight="1">
      <c r="B35" s="20"/>
      <c r="C35" s="45" t="s">
        <v>55</v>
      </c>
      <c r="D35" s="45">
        <v>300.0</v>
      </c>
      <c r="E35" s="32"/>
      <c r="F35" s="16">
        <v>60.0</v>
      </c>
      <c r="G35" s="26">
        <f t="shared" si="7"/>
        <v>18000</v>
      </c>
      <c r="H35" s="27"/>
      <c r="I35" s="28"/>
    </row>
    <row r="36" ht="15.75" customHeight="1">
      <c r="B36" s="23"/>
      <c r="C36" s="15" t="s">
        <v>45</v>
      </c>
      <c r="D36" s="24">
        <v>200.0</v>
      </c>
      <c r="E36" s="25"/>
      <c r="F36" s="24">
        <v>70.0</v>
      </c>
      <c r="G36" s="29">
        <f t="shared" si="7"/>
        <v>14000</v>
      </c>
      <c r="H36" s="30"/>
      <c r="I36" s="31"/>
    </row>
    <row r="37" ht="15.75" customHeight="1"/>
    <row r="38" ht="15.75" customHeight="1">
      <c r="B38" s="39">
        <v>46056.0</v>
      </c>
      <c r="C38" s="15" t="s">
        <v>33</v>
      </c>
      <c r="D38" s="15">
        <v>200.0</v>
      </c>
      <c r="E38" s="12"/>
      <c r="F38" s="10">
        <v>72.0</v>
      </c>
      <c r="G38" s="17">
        <f>+F38*D38</f>
        <v>14400</v>
      </c>
      <c r="H38" s="41">
        <f>G38</f>
        <v>14400</v>
      </c>
      <c r="I38" s="42">
        <v>221.0</v>
      </c>
    </row>
    <row r="39" ht="15.75" customHeight="1"/>
    <row r="40" ht="15.75" customHeight="1">
      <c r="B40" s="14">
        <v>46058.0</v>
      </c>
      <c r="C40" s="24" t="s">
        <v>24</v>
      </c>
      <c r="D40" s="15">
        <v>300.0</v>
      </c>
      <c r="E40" s="12"/>
      <c r="F40" s="15">
        <v>75.0</v>
      </c>
      <c r="G40" s="17">
        <f t="shared" ref="G40:G41" si="8">+F40*D40</f>
        <v>22500</v>
      </c>
      <c r="H40" s="18">
        <f>G40+G41</f>
        <v>40500</v>
      </c>
      <c r="I40" s="21">
        <v>228.0</v>
      </c>
    </row>
    <row r="41" ht="15.75" customHeight="1">
      <c r="B41" s="23"/>
      <c r="C41" s="40" t="s">
        <v>61</v>
      </c>
      <c r="D41" s="40">
        <v>300.0</v>
      </c>
      <c r="E41" s="22"/>
      <c r="F41" s="8">
        <v>60.0</v>
      </c>
      <c r="G41" s="26">
        <f t="shared" si="8"/>
        <v>18000</v>
      </c>
      <c r="H41" s="30"/>
      <c r="I41" s="31"/>
    </row>
    <row r="42" ht="15.75" customHeight="1"/>
    <row r="43" ht="15.75" customHeight="1">
      <c r="B43" s="14">
        <v>46027.0</v>
      </c>
      <c r="C43" s="45" t="s">
        <v>50</v>
      </c>
      <c r="D43" s="15">
        <v>380.0</v>
      </c>
      <c r="E43" s="12"/>
      <c r="F43" s="15">
        <v>60.0</v>
      </c>
      <c r="G43" s="17">
        <f t="shared" ref="G43:G44" si="9">+F43*D43</f>
        <v>22800</v>
      </c>
      <c r="H43" s="18">
        <f>G43+G44</f>
        <v>28800</v>
      </c>
      <c r="I43" s="21">
        <v>230.0</v>
      </c>
    </row>
    <row r="44" ht="15.75" customHeight="1">
      <c r="B44" s="23"/>
      <c r="C44" s="40" t="s">
        <v>67</v>
      </c>
      <c r="D44" s="40">
        <v>100.0</v>
      </c>
      <c r="E44" s="22"/>
      <c r="F44" s="8">
        <v>60.0</v>
      </c>
      <c r="G44" s="26">
        <f t="shared" si="9"/>
        <v>6000</v>
      </c>
      <c r="H44" s="30"/>
      <c r="I44" s="31"/>
    </row>
    <row r="45" ht="15.75" customHeight="1"/>
    <row r="46" ht="15.75" customHeight="1">
      <c r="B46" s="14">
        <v>46061.0</v>
      </c>
      <c r="C46" s="15" t="s">
        <v>43</v>
      </c>
      <c r="D46" s="15">
        <v>500.0</v>
      </c>
      <c r="E46" s="12"/>
      <c r="F46" s="15">
        <v>60.0</v>
      </c>
      <c r="G46" s="17">
        <f t="shared" ref="G46:G49" si="10">+F46*D46</f>
        <v>30000</v>
      </c>
      <c r="H46" s="18">
        <f>+G46+G47+G48+G49</f>
        <v>87000</v>
      </c>
      <c r="I46" s="21">
        <v>236.0</v>
      </c>
    </row>
    <row r="47" ht="15.75" customHeight="1">
      <c r="B47" s="20"/>
      <c r="C47" s="40" t="s">
        <v>72</v>
      </c>
      <c r="D47" s="40">
        <v>500.0</v>
      </c>
      <c r="E47" s="22"/>
      <c r="F47" s="40">
        <v>70.0</v>
      </c>
      <c r="G47" s="26">
        <f t="shared" si="10"/>
        <v>35000</v>
      </c>
      <c r="H47" s="27"/>
      <c r="I47" s="28"/>
    </row>
    <row r="48" ht="15.75" customHeight="1">
      <c r="B48" s="20"/>
      <c r="C48" s="45" t="s">
        <v>23</v>
      </c>
      <c r="D48" s="45">
        <v>200.0</v>
      </c>
      <c r="E48" s="32"/>
      <c r="F48" s="16">
        <v>60.0</v>
      </c>
      <c r="G48" s="26">
        <f t="shared" si="10"/>
        <v>12000</v>
      </c>
      <c r="H48" s="27"/>
      <c r="I48" s="28"/>
    </row>
    <row r="49" ht="15.75" customHeight="1">
      <c r="B49" s="23"/>
      <c r="C49" s="15" t="s">
        <v>75</v>
      </c>
      <c r="D49" s="24">
        <v>200.0</v>
      </c>
      <c r="E49" s="25"/>
      <c r="F49" s="24">
        <v>50.0</v>
      </c>
      <c r="G49" s="29">
        <f t="shared" si="10"/>
        <v>10000</v>
      </c>
      <c r="H49" s="30"/>
      <c r="I49" s="31"/>
    </row>
    <row r="50" ht="15.75" customHeight="1"/>
    <row r="51" ht="15.75" customHeight="1">
      <c r="B51" s="14">
        <v>46064.0</v>
      </c>
      <c r="C51" s="15" t="s">
        <v>43</v>
      </c>
      <c r="D51" s="15">
        <v>200.0</v>
      </c>
      <c r="E51" s="12"/>
      <c r="F51" s="15">
        <v>60.0</v>
      </c>
      <c r="G51" s="17">
        <f t="shared" ref="G51:G54" si="11">+F51*D51</f>
        <v>12000</v>
      </c>
      <c r="H51" s="18">
        <f>+G51+G52+G53+G54</f>
        <v>63600</v>
      </c>
      <c r="I51" s="21">
        <v>236.0</v>
      </c>
    </row>
    <row r="52" ht="15.75" customHeight="1">
      <c r="B52" s="20"/>
      <c r="C52" s="40" t="s">
        <v>79</v>
      </c>
      <c r="D52" s="40">
        <v>200.0</v>
      </c>
      <c r="E52" s="22"/>
      <c r="F52" s="40">
        <v>60.0</v>
      </c>
      <c r="G52" s="26">
        <f t="shared" si="11"/>
        <v>12000</v>
      </c>
      <c r="H52" s="27"/>
      <c r="I52" s="28"/>
    </row>
    <row r="53" ht="15.75" customHeight="1">
      <c r="B53" s="20"/>
      <c r="C53" s="45" t="s">
        <v>80</v>
      </c>
      <c r="D53" s="45">
        <v>300.0</v>
      </c>
      <c r="E53" s="32"/>
      <c r="F53" s="45">
        <v>72.0</v>
      </c>
      <c r="G53" s="26">
        <f t="shared" si="11"/>
        <v>21600</v>
      </c>
      <c r="H53" s="27"/>
      <c r="I53" s="28"/>
    </row>
    <row r="54" ht="15.75" customHeight="1">
      <c r="B54" s="23"/>
      <c r="C54" s="15" t="s">
        <v>81</v>
      </c>
      <c r="D54" s="24">
        <v>300.0</v>
      </c>
      <c r="E54" s="25"/>
      <c r="F54" s="24">
        <v>60.0</v>
      </c>
      <c r="G54" s="29">
        <f t="shared" si="11"/>
        <v>18000</v>
      </c>
      <c r="H54" s="30"/>
      <c r="I54" s="31"/>
    </row>
    <row r="55" ht="15.75" customHeight="1"/>
    <row r="56" ht="15.75" customHeight="1">
      <c r="B56" s="14">
        <v>46068.0</v>
      </c>
      <c r="C56" s="45" t="s">
        <v>80</v>
      </c>
      <c r="D56" s="45">
        <v>300.0</v>
      </c>
      <c r="E56" s="32"/>
      <c r="F56" s="45">
        <v>72.0</v>
      </c>
      <c r="G56" s="17">
        <f t="shared" ref="G56:G58" si="12">+F56*D56</f>
        <v>21600</v>
      </c>
      <c r="H56" s="18">
        <f>+G56+G57+G58</f>
        <v>69600</v>
      </c>
      <c r="I56" s="21">
        <v>245.0</v>
      </c>
    </row>
    <row r="57" ht="15.75" customHeight="1">
      <c r="B57" s="20"/>
      <c r="C57" s="40" t="s">
        <v>79</v>
      </c>
      <c r="D57" s="40">
        <v>500.0</v>
      </c>
      <c r="E57" s="22"/>
      <c r="F57" s="40">
        <v>60.0</v>
      </c>
      <c r="G57" s="26">
        <f t="shared" si="12"/>
        <v>30000</v>
      </c>
      <c r="H57" s="27"/>
      <c r="I57" s="28"/>
    </row>
    <row r="58" ht="15.75" customHeight="1">
      <c r="B58" s="23"/>
      <c r="C58" s="15" t="s">
        <v>81</v>
      </c>
      <c r="D58" s="24">
        <v>300.0</v>
      </c>
      <c r="E58" s="25"/>
      <c r="F58" s="24">
        <v>60.0</v>
      </c>
      <c r="G58" s="29">
        <f t="shared" si="12"/>
        <v>18000</v>
      </c>
      <c r="H58" s="30"/>
      <c r="I58" s="31"/>
    </row>
    <row r="59" ht="15.75" customHeight="1"/>
    <row r="60" ht="15.75" customHeight="1">
      <c r="B60" s="14">
        <v>46071.0</v>
      </c>
      <c r="C60" s="45" t="s">
        <v>86</v>
      </c>
      <c r="D60" s="45">
        <v>300.0</v>
      </c>
      <c r="E60" s="32"/>
      <c r="F60" s="45">
        <v>90.0</v>
      </c>
      <c r="G60" s="17">
        <f t="shared" ref="G60:G62" si="13">+F60*D60</f>
        <v>27000</v>
      </c>
      <c r="H60" s="18">
        <f>+G60+G61+G62</f>
        <v>38000</v>
      </c>
      <c r="I60" s="21">
        <v>250.0</v>
      </c>
    </row>
    <row r="61" ht="15.75" customHeight="1">
      <c r="B61" s="20"/>
      <c r="C61" s="40" t="s">
        <v>88</v>
      </c>
      <c r="D61" s="40">
        <v>100.0</v>
      </c>
      <c r="E61" s="22"/>
      <c r="F61" s="40">
        <v>60.0</v>
      </c>
      <c r="G61" s="26">
        <f t="shared" si="13"/>
        <v>6000</v>
      </c>
      <c r="H61" s="27"/>
      <c r="I61" s="28"/>
    </row>
    <row r="62" ht="15.75" customHeight="1">
      <c r="B62" s="23"/>
      <c r="C62" s="15" t="s">
        <v>89</v>
      </c>
      <c r="D62" s="24">
        <v>100.0</v>
      </c>
      <c r="E62" s="25"/>
      <c r="F62" s="24">
        <v>50.0</v>
      </c>
      <c r="G62" s="29">
        <f t="shared" si="13"/>
        <v>5000</v>
      </c>
      <c r="H62" s="30"/>
      <c r="I62" s="31"/>
    </row>
    <row r="63" ht="15.75" customHeight="1"/>
    <row r="64" ht="15.75" customHeight="1">
      <c r="B64" s="14">
        <v>46076.0</v>
      </c>
      <c r="C64" s="45" t="s">
        <v>86</v>
      </c>
      <c r="D64" s="45">
        <v>400.0</v>
      </c>
      <c r="E64" s="32"/>
      <c r="F64" s="45">
        <v>90.0</v>
      </c>
      <c r="G64" s="17">
        <f t="shared" ref="G64:G66" si="14">+F64*D64</f>
        <v>36000</v>
      </c>
      <c r="H64" s="18">
        <f>+G64+G65+G66</f>
        <v>58000</v>
      </c>
      <c r="I64" s="21">
        <v>261.0</v>
      </c>
    </row>
    <row r="65" ht="15.75" customHeight="1">
      <c r="B65" s="20"/>
      <c r="C65" s="40" t="s">
        <v>93</v>
      </c>
      <c r="D65" s="40">
        <v>200.0</v>
      </c>
      <c r="E65" s="22"/>
      <c r="F65" s="40">
        <v>60.0</v>
      </c>
      <c r="G65" s="26">
        <f t="shared" si="14"/>
        <v>12000</v>
      </c>
      <c r="H65" s="27"/>
      <c r="I65" s="28"/>
    </row>
    <row r="66" ht="15.75" customHeight="1">
      <c r="B66" s="23"/>
      <c r="C66" s="15" t="s">
        <v>89</v>
      </c>
      <c r="D66" s="24">
        <v>200.0</v>
      </c>
      <c r="E66" s="25"/>
      <c r="F66" s="24">
        <v>50.0</v>
      </c>
      <c r="G66" s="29">
        <f t="shared" si="14"/>
        <v>10000</v>
      </c>
      <c r="H66" s="30"/>
      <c r="I66" s="31"/>
    </row>
    <row r="67" ht="15.75" customHeight="1"/>
    <row r="68" ht="15.75" customHeight="1">
      <c r="B68" s="14">
        <v>46082.0</v>
      </c>
      <c r="C68" s="45" t="s">
        <v>86</v>
      </c>
      <c r="D68" s="15">
        <v>500.0</v>
      </c>
      <c r="E68" s="12"/>
      <c r="F68" s="15">
        <v>90.0</v>
      </c>
      <c r="G68" s="17">
        <f t="shared" ref="G68:G69" si="15">+F68*D68</f>
        <v>45000</v>
      </c>
      <c r="H68" s="18">
        <f>G68+G69</f>
        <v>51000</v>
      </c>
      <c r="I68" s="21">
        <v>272.0</v>
      </c>
    </row>
    <row r="69" ht="15.75" customHeight="1">
      <c r="B69" s="23"/>
      <c r="C69" s="40" t="s">
        <v>23</v>
      </c>
      <c r="D69" s="40">
        <v>100.0</v>
      </c>
      <c r="E69" s="22"/>
      <c r="F69" s="8">
        <v>60.0</v>
      </c>
      <c r="G69" s="26">
        <f t="shared" si="15"/>
        <v>6000</v>
      </c>
      <c r="H69" s="30"/>
      <c r="I69" s="31"/>
    </row>
    <row r="70" ht="15.75" customHeight="1"/>
    <row r="71" ht="15.75" customHeight="1">
      <c r="B71" s="14">
        <v>46083.0</v>
      </c>
      <c r="C71" s="45" t="s">
        <v>86</v>
      </c>
      <c r="D71" s="45">
        <v>200.0</v>
      </c>
      <c r="E71" s="32"/>
      <c r="F71" s="45">
        <v>90.0</v>
      </c>
      <c r="G71" s="17">
        <f t="shared" ref="G71:G73" si="16">+F71*D71</f>
        <v>18000</v>
      </c>
      <c r="H71" s="18">
        <f>+G71+G72+G73</f>
        <v>36000</v>
      </c>
      <c r="I71" s="21">
        <v>275.0</v>
      </c>
    </row>
    <row r="72" ht="15.75" customHeight="1">
      <c r="B72" s="20"/>
      <c r="C72" s="40" t="s">
        <v>23</v>
      </c>
      <c r="D72" s="40">
        <v>100.0</v>
      </c>
      <c r="E72" s="22"/>
      <c r="F72" s="40">
        <v>60.0</v>
      </c>
      <c r="G72" s="26">
        <f t="shared" si="16"/>
        <v>6000</v>
      </c>
      <c r="H72" s="27"/>
      <c r="I72" s="28"/>
    </row>
    <row r="73" ht="15.75" customHeight="1">
      <c r="B73" s="23"/>
      <c r="C73" s="15" t="s">
        <v>43</v>
      </c>
      <c r="D73" s="24">
        <v>200.0</v>
      </c>
      <c r="E73" s="25"/>
      <c r="F73" s="24">
        <v>60.0</v>
      </c>
      <c r="G73" s="29">
        <f t="shared" si="16"/>
        <v>12000</v>
      </c>
      <c r="H73" s="30"/>
      <c r="I73" s="31"/>
    </row>
    <row r="74" ht="15.75" customHeight="1"/>
    <row r="75" ht="15.75" customHeight="1">
      <c r="B75" s="14">
        <v>46085.0</v>
      </c>
      <c r="C75" s="45" t="s">
        <v>86</v>
      </c>
      <c r="D75" s="45">
        <v>80.0</v>
      </c>
      <c r="E75" s="32"/>
      <c r="F75" s="45">
        <v>90.0</v>
      </c>
      <c r="G75" s="17">
        <f t="shared" ref="G75:G77" si="17">+F75*D75</f>
        <v>7200</v>
      </c>
      <c r="H75" s="18">
        <f>+G75+G76+G77</f>
        <v>46200</v>
      </c>
      <c r="I75" s="21">
        <v>278.0</v>
      </c>
    </row>
    <row r="76" ht="15.75" customHeight="1">
      <c r="B76" s="20"/>
      <c r="C76" s="40" t="s">
        <v>23</v>
      </c>
      <c r="D76" s="40">
        <v>200.0</v>
      </c>
      <c r="E76" s="22"/>
      <c r="F76" s="40">
        <v>60.0</v>
      </c>
      <c r="G76" s="26">
        <f t="shared" si="17"/>
        <v>12000</v>
      </c>
      <c r="H76" s="27"/>
      <c r="I76" s="28"/>
    </row>
    <row r="77" ht="15.75" customHeight="1">
      <c r="B77" s="23"/>
      <c r="C77" s="40" t="s">
        <v>86</v>
      </c>
      <c r="D77" s="24">
        <v>300.0</v>
      </c>
      <c r="E77" s="25"/>
      <c r="F77" s="24">
        <v>90.0</v>
      </c>
      <c r="G77" s="29">
        <f t="shared" si="17"/>
        <v>27000</v>
      </c>
      <c r="H77" s="30"/>
      <c r="I77" s="31"/>
    </row>
    <row r="78" ht="15.75" customHeight="1"/>
    <row r="79" ht="15.75" customHeight="1">
      <c r="B79" s="78">
        <v>46090.0</v>
      </c>
      <c r="C79" s="40" t="s">
        <v>86</v>
      </c>
      <c r="D79" s="80">
        <v>700.0</v>
      </c>
      <c r="E79" s="32"/>
      <c r="F79" s="45">
        <v>90.0</v>
      </c>
      <c r="G79" s="17">
        <f t="shared" ref="G79:G80" si="18">+F79*D79</f>
        <v>63000</v>
      </c>
      <c r="H79" s="18">
        <f>+G79+G80</f>
        <v>85500</v>
      </c>
      <c r="I79" s="21">
        <v>285.0</v>
      </c>
    </row>
    <row r="80" ht="15.75" customHeight="1">
      <c r="B80" s="85"/>
      <c r="C80" s="40" t="s">
        <v>86</v>
      </c>
      <c r="D80" s="86">
        <v>250.0</v>
      </c>
      <c r="E80" s="25"/>
      <c r="F80" s="24">
        <v>90.0</v>
      </c>
      <c r="G80" s="29">
        <f t="shared" si="18"/>
        <v>22500</v>
      </c>
      <c r="H80" s="30"/>
      <c r="I80" s="31"/>
    </row>
    <row r="81" ht="15.75" customHeight="1"/>
    <row r="82" ht="15.75" customHeight="1">
      <c r="B82" s="87">
        <v>46113.0</v>
      </c>
      <c r="C82" s="53" t="s">
        <v>113</v>
      </c>
      <c r="D82" s="88">
        <v>500.0</v>
      </c>
      <c r="E82" s="89"/>
      <c r="F82" s="90">
        <v>90.0</v>
      </c>
      <c r="G82" s="60">
        <v>45000.0</v>
      </c>
      <c r="H82" s="60">
        <v>45000.0</v>
      </c>
      <c r="I82" s="91">
        <v>314.0</v>
      </c>
    </row>
    <row r="83" ht="15.75" customHeight="1">
      <c r="B83" s="92"/>
      <c r="C83" s="53" t="s">
        <v>116</v>
      </c>
      <c r="D83" s="52">
        <v>500.0</v>
      </c>
      <c r="E83" s="54"/>
      <c r="F83" s="53">
        <v>60.0</v>
      </c>
      <c r="G83" s="61">
        <v>30000.0</v>
      </c>
      <c r="H83" s="93">
        <v>60000.0</v>
      </c>
      <c r="I83" s="94">
        <v>311.0</v>
      </c>
    </row>
    <row r="84" ht="15.75" customHeight="1">
      <c r="B84" s="85"/>
      <c r="C84" s="53" t="s">
        <v>119</v>
      </c>
      <c r="D84" s="95">
        <v>500.0</v>
      </c>
      <c r="E84" s="96"/>
      <c r="F84" s="97">
        <v>60.0</v>
      </c>
      <c r="G84" s="62">
        <v>30000.0</v>
      </c>
      <c r="H84" s="30"/>
      <c r="I84" s="31"/>
    </row>
    <row r="85" ht="15.75" customHeight="1"/>
    <row r="86" ht="15.75" customHeight="1">
      <c r="B86" s="98">
        <v>46116.0</v>
      </c>
      <c r="C86" s="65" t="s">
        <v>121</v>
      </c>
      <c r="D86" s="99">
        <v>600.0</v>
      </c>
      <c r="E86" s="67"/>
      <c r="F86" s="66">
        <v>75.0</v>
      </c>
      <c r="G86" s="68">
        <v>45000.0</v>
      </c>
      <c r="H86" s="69">
        <v>81000.0</v>
      </c>
      <c r="I86" s="70">
        <v>318.0</v>
      </c>
    </row>
    <row r="87" ht="15.75" customHeight="1">
      <c r="B87" s="85"/>
      <c r="C87" s="65" t="s">
        <v>124</v>
      </c>
      <c r="D87" s="100">
        <v>400.0</v>
      </c>
      <c r="E87" s="74"/>
      <c r="F87" s="73">
        <v>90.0</v>
      </c>
      <c r="G87" s="75">
        <v>36000.0</v>
      </c>
      <c r="H87" s="30"/>
      <c r="I87" s="31"/>
    </row>
    <row r="88" ht="15.75" customHeight="1"/>
    <row r="89" ht="15.75" customHeight="1">
      <c r="B89" s="98">
        <v>46118.0</v>
      </c>
      <c r="C89" s="65" t="s">
        <v>126</v>
      </c>
      <c r="D89" s="99">
        <v>600.0</v>
      </c>
      <c r="E89" s="67"/>
      <c r="F89" s="66">
        <v>90.0</v>
      </c>
      <c r="G89" s="68">
        <v>54000.0</v>
      </c>
      <c r="H89" s="69">
        <v>74000.0</v>
      </c>
      <c r="I89" s="70">
        <v>323.0</v>
      </c>
      <c r="J89" s="83"/>
    </row>
    <row r="90" ht="15.75" customHeight="1">
      <c r="B90" s="85"/>
      <c r="C90" s="65" t="s">
        <v>128</v>
      </c>
      <c r="D90" s="100">
        <v>400.0</v>
      </c>
      <c r="E90" s="74"/>
      <c r="F90" s="73">
        <v>50.0</v>
      </c>
      <c r="G90" s="75">
        <v>20000.0</v>
      </c>
      <c r="H90" s="30"/>
      <c r="I90" s="31"/>
      <c r="J90" s="83"/>
    </row>
    <row r="91" ht="15.75" customHeight="1">
      <c r="B91" s="83"/>
      <c r="C91" s="83"/>
      <c r="D91" s="83"/>
      <c r="E91" s="83"/>
      <c r="F91" s="83"/>
      <c r="G91" s="83"/>
      <c r="H91" s="83"/>
      <c r="I91" s="83"/>
      <c r="J91" s="83"/>
    </row>
    <row r="92" ht="15.75" customHeight="1">
      <c r="B92" s="76">
        <v>46119.0</v>
      </c>
      <c r="C92" s="77" t="s">
        <v>132</v>
      </c>
      <c r="D92" s="77">
        <v>600.0</v>
      </c>
      <c r="E92" s="79"/>
      <c r="F92" s="77">
        <v>75.0</v>
      </c>
      <c r="G92" s="81">
        <f>F92*D92</f>
        <v>45000</v>
      </c>
      <c r="H92" s="81">
        <v>45000.0</v>
      </c>
      <c r="I92" s="82">
        <v>329.0</v>
      </c>
      <c r="J92" s="101" t="s">
        <v>135</v>
      </c>
    </row>
    <row r="93" ht="15.75" customHeight="1">
      <c r="B93" s="83"/>
      <c r="C93" s="83"/>
      <c r="D93" s="83"/>
      <c r="E93" s="83"/>
      <c r="F93" s="83"/>
      <c r="G93" s="83"/>
      <c r="H93" s="83"/>
      <c r="I93" s="83"/>
      <c r="J93" s="83"/>
    </row>
    <row r="94" ht="15.75" customHeight="1">
      <c r="B94" s="84">
        <v>46121.0</v>
      </c>
      <c r="C94" s="66" t="s">
        <v>138</v>
      </c>
      <c r="D94" s="66">
        <v>300.0</v>
      </c>
      <c r="E94" s="67"/>
      <c r="F94" s="66">
        <v>60.0</v>
      </c>
      <c r="G94" s="68">
        <v>18000.0</v>
      </c>
      <c r="H94" s="69">
        <v>48000.0</v>
      </c>
      <c r="I94" s="70">
        <v>331.0</v>
      </c>
      <c r="J94" s="83"/>
    </row>
    <row r="95" ht="15.75" customHeight="1">
      <c r="B95" s="20"/>
      <c r="C95" s="65" t="s">
        <v>143</v>
      </c>
      <c r="D95" s="65">
        <v>200.0</v>
      </c>
      <c r="E95" s="71"/>
      <c r="F95" s="65">
        <v>50.0</v>
      </c>
      <c r="G95" s="72">
        <v>10000.0</v>
      </c>
      <c r="H95" s="27"/>
      <c r="I95" s="28"/>
      <c r="J95" s="83"/>
    </row>
    <row r="96" ht="15.75" customHeight="1">
      <c r="B96" s="20"/>
      <c r="C96" s="65" t="s">
        <v>145</v>
      </c>
      <c r="D96" s="65">
        <v>200.0</v>
      </c>
      <c r="E96" s="71"/>
      <c r="F96" s="65">
        <v>50.0</v>
      </c>
      <c r="G96" s="72">
        <v>10000.0</v>
      </c>
      <c r="H96" s="27"/>
      <c r="I96" s="28"/>
      <c r="J96" s="83"/>
    </row>
    <row r="97" ht="15.75" customHeight="1">
      <c r="B97" s="20"/>
      <c r="C97" s="65" t="s">
        <v>146</v>
      </c>
      <c r="D97" s="65">
        <v>100.0</v>
      </c>
      <c r="E97" s="71"/>
      <c r="F97" s="65">
        <v>50.0</v>
      </c>
      <c r="G97" s="65">
        <v>5000.0</v>
      </c>
      <c r="H97" s="27"/>
      <c r="I97" s="28"/>
      <c r="J97" s="83"/>
    </row>
    <row r="98" ht="15.75" customHeight="1">
      <c r="B98" s="23"/>
      <c r="C98" s="73" t="s">
        <v>147</v>
      </c>
      <c r="D98" s="73">
        <v>100.0</v>
      </c>
      <c r="E98" s="74"/>
      <c r="F98" s="73">
        <v>50.0</v>
      </c>
      <c r="G98" s="73">
        <v>5000.0</v>
      </c>
      <c r="H98" s="30"/>
      <c r="I98" s="31"/>
      <c r="J98" s="83"/>
    </row>
    <row r="99" ht="15.75" customHeight="1">
      <c r="B99" s="83"/>
      <c r="C99" s="83"/>
      <c r="D99" s="83"/>
      <c r="E99" s="83"/>
      <c r="F99" s="83"/>
      <c r="G99" s="83"/>
      <c r="H99" s="83"/>
      <c r="I99" s="83"/>
      <c r="J99" s="83"/>
    </row>
    <row r="100" ht="15.75" customHeight="1">
      <c r="B100" s="98">
        <v>46124.0</v>
      </c>
      <c r="C100" s="65" t="s">
        <v>126</v>
      </c>
      <c r="D100" s="99">
        <v>500.0</v>
      </c>
      <c r="E100" s="67"/>
      <c r="F100" s="66">
        <v>90.0</v>
      </c>
      <c r="G100" s="68">
        <v>45000.0</v>
      </c>
      <c r="H100" s="69">
        <v>57000.0</v>
      </c>
      <c r="I100" s="70">
        <v>337.0</v>
      </c>
      <c r="J100" s="103" t="s">
        <v>151</v>
      </c>
    </row>
    <row r="101" ht="15.75" customHeight="1">
      <c r="B101" s="85"/>
      <c r="C101" s="66" t="s">
        <v>138</v>
      </c>
      <c r="D101" s="100">
        <v>200.0</v>
      </c>
      <c r="E101" s="74"/>
      <c r="F101" s="73">
        <v>60.0</v>
      </c>
      <c r="G101" s="75">
        <v>12000.0</v>
      </c>
      <c r="H101" s="30"/>
      <c r="I101" s="31"/>
      <c r="J101" s="83"/>
    </row>
    <row r="102" ht="15.75" customHeight="1">
      <c r="B102" s="83"/>
      <c r="C102" s="83"/>
      <c r="D102" s="83"/>
      <c r="E102" s="83"/>
      <c r="F102" s="83"/>
      <c r="G102" s="83"/>
      <c r="H102" s="83"/>
      <c r="I102" s="83"/>
      <c r="J102" s="83"/>
    </row>
    <row r="103" ht="15.75" customHeight="1">
      <c r="B103" s="105">
        <v>46126.0</v>
      </c>
      <c r="C103" s="77" t="s">
        <v>126</v>
      </c>
      <c r="D103" s="107">
        <v>1300.0</v>
      </c>
      <c r="E103" s="79"/>
      <c r="F103" s="77">
        <v>90.0</v>
      </c>
      <c r="G103" s="81">
        <f>F103*D103</f>
        <v>117000</v>
      </c>
      <c r="H103" s="81">
        <f>G103</f>
        <v>117000</v>
      </c>
      <c r="I103" s="82">
        <v>341.0</v>
      </c>
      <c r="J103" s="103" t="s">
        <v>151</v>
      </c>
    </row>
    <row r="104" ht="15.75" customHeight="1">
      <c r="B104" s="83"/>
      <c r="C104" s="83"/>
      <c r="D104" s="83"/>
      <c r="E104" s="83"/>
      <c r="F104" s="83"/>
      <c r="G104" s="83"/>
      <c r="H104" s="83"/>
      <c r="I104" s="83"/>
      <c r="J104" s="83"/>
    </row>
    <row r="105" ht="15.75" customHeight="1">
      <c r="B105" s="98">
        <v>46124.0</v>
      </c>
      <c r="C105" s="65" t="s">
        <v>126</v>
      </c>
      <c r="D105" s="99">
        <v>500.0</v>
      </c>
      <c r="E105" s="67"/>
      <c r="F105" s="66">
        <v>90.0</v>
      </c>
      <c r="G105" s="68">
        <v>45000.0</v>
      </c>
      <c r="H105" s="69">
        <v>57000.0</v>
      </c>
      <c r="I105" s="70">
        <v>345.0</v>
      </c>
      <c r="J105" s="83"/>
    </row>
    <row r="106" ht="15.75" customHeight="1">
      <c r="B106" s="85"/>
      <c r="C106" s="66" t="s">
        <v>138</v>
      </c>
      <c r="D106" s="100">
        <v>200.0</v>
      </c>
      <c r="E106" s="74"/>
      <c r="F106" s="73">
        <v>60.0</v>
      </c>
      <c r="G106" s="75">
        <v>12000.0</v>
      </c>
      <c r="H106" s="30"/>
      <c r="I106" s="31"/>
      <c r="J106" s="83"/>
    </row>
    <row r="107" ht="15.75" customHeight="1">
      <c r="B107" s="83"/>
      <c r="C107" s="83"/>
      <c r="D107" s="83"/>
      <c r="E107" s="83"/>
      <c r="F107" s="83"/>
      <c r="G107" s="83"/>
      <c r="H107" s="83"/>
      <c r="I107" s="83"/>
      <c r="J107" s="83"/>
    </row>
    <row r="108" ht="15.75" customHeight="1">
      <c r="B108" s="98">
        <v>46128.0</v>
      </c>
      <c r="C108" s="65" t="s">
        <v>126</v>
      </c>
      <c r="D108" s="99">
        <v>400.0</v>
      </c>
      <c r="E108" s="67"/>
      <c r="F108" s="66">
        <v>90.0</v>
      </c>
      <c r="G108" s="68">
        <f t="shared" ref="G108:G109" si="19">F108*D108</f>
        <v>36000</v>
      </c>
      <c r="H108" s="69">
        <f>G108+G109</f>
        <v>51000</v>
      </c>
      <c r="I108" s="70">
        <v>351.0</v>
      </c>
      <c r="J108" s="83"/>
    </row>
    <row r="109" ht="15.75" customHeight="1">
      <c r="B109" s="85"/>
      <c r="C109" s="66" t="s">
        <v>161</v>
      </c>
      <c r="D109" s="100">
        <v>300.0</v>
      </c>
      <c r="E109" s="74"/>
      <c r="F109" s="73">
        <v>50.0</v>
      </c>
      <c r="G109" s="68">
        <f t="shared" si="19"/>
        <v>15000</v>
      </c>
      <c r="H109" s="30"/>
      <c r="I109" s="31"/>
      <c r="J109" s="83"/>
    </row>
    <row r="110" ht="15.75" customHeight="1">
      <c r="B110" s="83"/>
      <c r="C110" s="83"/>
      <c r="D110" s="83"/>
      <c r="E110" s="83"/>
      <c r="F110" s="83"/>
      <c r="G110" s="83"/>
      <c r="H110" s="83"/>
      <c r="I110" s="83"/>
      <c r="J110" s="83"/>
    </row>
    <row r="111" ht="15.75" customHeight="1">
      <c r="B111" s="108">
        <v>46131.0</v>
      </c>
      <c r="C111" s="109" t="s">
        <v>164</v>
      </c>
      <c r="D111" s="109">
        <v>500.0</v>
      </c>
      <c r="E111" s="110"/>
      <c r="F111" s="109">
        <v>50.0</v>
      </c>
      <c r="G111" s="111">
        <v>25000.0</v>
      </c>
      <c r="H111" s="111">
        <v>25000.0</v>
      </c>
      <c r="I111" s="109">
        <v>355.0</v>
      </c>
      <c r="J111" s="83"/>
    </row>
    <row r="112" ht="15.75" customHeight="1">
      <c r="B112" s="83"/>
      <c r="C112" s="83"/>
      <c r="D112" s="83"/>
      <c r="E112" s="83"/>
      <c r="F112" s="83"/>
      <c r="G112" s="83"/>
      <c r="H112" s="83"/>
      <c r="I112" s="83"/>
      <c r="J112" s="83"/>
    </row>
    <row r="113" ht="15.75" customHeight="1">
      <c r="B113" s="108">
        <v>6693545.0</v>
      </c>
      <c r="C113" s="109" t="s">
        <v>167</v>
      </c>
      <c r="D113" s="109">
        <v>800.0</v>
      </c>
      <c r="E113" s="110"/>
      <c r="F113" s="109">
        <v>90.0</v>
      </c>
      <c r="G113" s="111">
        <v>72000.0</v>
      </c>
      <c r="H113" s="111">
        <v>72000.0</v>
      </c>
      <c r="I113" s="109">
        <v>356.0</v>
      </c>
      <c r="J113" s="83"/>
    </row>
    <row r="114" ht="15.75" customHeight="1">
      <c r="B114" s="83"/>
      <c r="C114" s="83"/>
      <c r="D114" s="83"/>
      <c r="E114" s="83"/>
      <c r="F114" s="83"/>
      <c r="G114" s="83"/>
      <c r="H114" s="83"/>
      <c r="I114" s="83"/>
      <c r="J114" s="83"/>
    </row>
    <row r="115" ht="15.75" customHeight="1">
      <c r="B115" s="98">
        <v>46135.0</v>
      </c>
      <c r="C115" s="65" t="s">
        <v>170</v>
      </c>
      <c r="D115" s="99">
        <v>200.0</v>
      </c>
      <c r="E115" s="67"/>
      <c r="F115" s="66">
        <v>72.0</v>
      </c>
      <c r="G115" s="68">
        <f t="shared" ref="G115:G116" si="20">F115*D115</f>
        <v>14400</v>
      </c>
      <c r="H115" s="69">
        <f>G115+G116</f>
        <v>29400</v>
      </c>
      <c r="I115" s="70">
        <v>369.0</v>
      </c>
      <c r="J115" s="83"/>
    </row>
    <row r="116" ht="15.75" customHeight="1">
      <c r="B116" s="85"/>
      <c r="C116" s="66" t="s">
        <v>174</v>
      </c>
      <c r="D116" s="100">
        <v>200.0</v>
      </c>
      <c r="E116" s="74"/>
      <c r="F116" s="73">
        <v>75.0</v>
      </c>
      <c r="G116" s="68">
        <f t="shared" si="20"/>
        <v>15000</v>
      </c>
      <c r="H116" s="30"/>
      <c r="I116" s="31"/>
      <c r="J116" s="83"/>
    </row>
    <row r="117" ht="15.75" customHeight="1">
      <c r="B117" s="83"/>
      <c r="C117" s="83"/>
      <c r="D117" s="83"/>
      <c r="E117" s="83"/>
      <c r="F117" s="83"/>
      <c r="G117" s="83"/>
      <c r="H117" s="83"/>
      <c r="I117" s="83"/>
      <c r="J117" s="83"/>
    </row>
    <row r="118" ht="15.75" customHeight="1">
      <c r="B118" s="108">
        <v>6693553.0</v>
      </c>
      <c r="C118" s="109" t="s">
        <v>167</v>
      </c>
      <c r="D118" s="109">
        <v>800.0</v>
      </c>
      <c r="E118" s="110"/>
      <c r="F118" s="109">
        <v>90.0</v>
      </c>
      <c r="G118" s="111">
        <v>72000.0</v>
      </c>
      <c r="H118" s="111">
        <v>72000.0</v>
      </c>
      <c r="I118" s="109">
        <v>374.0</v>
      </c>
      <c r="J118" s="83"/>
    </row>
    <row r="119" ht="15.75" customHeight="1">
      <c r="B119" s="83"/>
      <c r="C119" s="83"/>
      <c r="D119" s="83"/>
      <c r="E119" s="83"/>
      <c r="F119" s="83"/>
      <c r="G119" s="83"/>
      <c r="H119" s="83"/>
      <c r="I119" s="83"/>
      <c r="J119" s="83"/>
    </row>
    <row r="120" ht="15.75" customHeight="1">
      <c r="B120" s="14">
        <v>46145.0</v>
      </c>
      <c r="C120" s="45" t="s">
        <v>86</v>
      </c>
      <c r="D120" s="45">
        <v>1000.0</v>
      </c>
      <c r="E120" s="32"/>
      <c r="F120" s="45">
        <v>90.0</v>
      </c>
      <c r="G120" s="17">
        <f t="shared" ref="G120:G122" si="21">+F120*D120</f>
        <v>90000</v>
      </c>
      <c r="H120" s="18">
        <f>+G120+G121+G122</f>
        <v>136300</v>
      </c>
      <c r="I120" s="21">
        <v>380.0</v>
      </c>
      <c r="J120" s="83"/>
    </row>
    <row r="121" ht="15.75" customHeight="1">
      <c r="B121" s="20"/>
      <c r="C121" s="40" t="s">
        <v>182</v>
      </c>
      <c r="D121" s="40">
        <v>500.0</v>
      </c>
      <c r="E121" s="22"/>
      <c r="F121" s="40">
        <v>80.0</v>
      </c>
      <c r="G121" s="26">
        <f t="shared" si="21"/>
        <v>40000</v>
      </c>
      <c r="H121" s="27"/>
      <c r="I121" s="28"/>
      <c r="J121" s="83"/>
    </row>
    <row r="122" ht="15.75" customHeight="1">
      <c r="B122" s="23"/>
      <c r="C122" s="40" t="s">
        <v>185</v>
      </c>
      <c r="D122" s="24">
        <v>100.0</v>
      </c>
      <c r="E122" s="25"/>
      <c r="F122" s="24">
        <v>63.0</v>
      </c>
      <c r="G122" s="29">
        <f t="shared" si="21"/>
        <v>6300</v>
      </c>
      <c r="H122" s="30"/>
      <c r="I122" s="31"/>
      <c r="J122" s="83"/>
    </row>
    <row r="123" ht="15.75" customHeight="1">
      <c r="B123" s="83"/>
      <c r="C123" s="83"/>
      <c r="D123" s="83"/>
      <c r="E123" s="83"/>
      <c r="F123" s="83"/>
      <c r="G123" s="83"/>
      <c r="H123" s="83"/>
      <c r="I123" s="83"/>
      <c r="J123" s="83"/>
    </row>
    <row r="124" ht="15.75" customHeight="1">
      <c r="B124" s="84">
        <v>46146.0</v>
      </c>
      <c r="C124" s="66" t="s">
        <v>189</v>
      </c>
      <c r="D124" s="66">
        <v>500.0</v>
      </c>
      <c r="E124" s="67"/>
      <c r="F124" s="66">
        <v>72.0</v>
      </c>
      <c r="G124" s="68">
        <v>36000.0</v>
      </c>
      <c r="H124" s="69">
        <v>57600.0</v>
      </c>
      <c r="I124" s="70">
        <v>382.0</v>
      </c>
    </row>
    <row r="125" ht="15.75" customHeight="1">
      <c r="B125" s="20"/>
      <c r="C125" s="65" t="s">
        <v>191</v>
      </c>
      <c r="D125" s="65">
        <v>200.0</v>
      </c>
      <c r="E125" s="71"/>
      <c r="F125" s="65">
        <v>72.0</v>
      </c>
      <c r="G125" s="72">
        <v>14400.0</v>
      </c>
      <c r="H125" s="27"/>
      <c r="I125" s="28"/>
    </row>
    <row r="126" ht="15.75" customHeight="1">
      <c r="B126" s="23"/>
      <c r="C126" s="73" t="s">
        <v>193</v>
      </c>
      <c r="D126" s="73">
        <v>100.0</v>
      </c>
      <c r="E126" s="74"/>
      <c r="F126" s="73">
        <v>72.0</v>
      </c>
      <c r="G126" s="75">
        <v>7200.0</v>
      </c>
      <c r="H126" s="30"/>
      <c r="I126" s="31"/>
    </row>
    <row r="127" ht="15.75" customHeight="1"/>
    <row r="128" ht="15.75" customHeight="1">
      <c r="B128" s="84">
        <v>46148.0</v>
      </c>
      <c r="C128" s="40" t="s">
        <v>194</v>
      </c>
      <c r="D128" s="66">
        <v>700.0</v>
      </c>
      <c r="E128" s="67"/>
      <c r="F128" s="66">
        <v>63.0</v>
      </c>
      <c r="G128" s="68">
        <f t="shared" ref="G128:G130" si="22">F128*D128</f>
        <v>44100</v>
      </c>
      <c r="H128" s="69">
        <f>G128+G129+G130</f>
        <v>120600</v>
      </c>
      <c r="I128" s="70">
        <v>388.0</v>
      </c>
    </row>
    <row r="129" ht="15.75" customHeight="1">
      <c r="B129" s="20"/>
      <c r="C129" s="65" t="s">
        <v>200</v>
      </c>
      <c r="D129" s="65">
        <v>500.0</v>
      </c>
      <c r="E129" s="71"/>
      <c r="F129" s="65">
        <v>63.0</v>
      </c>
      <c r="G129" s="68">
        <f t="shared" si="22"/>
        <v>31500</v>
      </c>
      <c r="H129" s="27"/>
      <c r="I129" s="28"/>
    </row>
    <row r="130" ht="15.75" customHeight="1">
      <c r="B130" s="23"/>
      <c r="C130" s="45" t="s">
        <v>202</v>
      </c>
      <c r="D130" s="73">
        <v>500.0</v>
      </c>
      <c r="E130" s="74"/>
      <c r="F130" s="73">
        <v>90.0</v>
      </c>
      <c r="G130" s="68">
        <f t="shared" si="22"/>
        <v>45000</v>
      </c>
      <c r="H130" s="30"/>
      <c r="I130" s="31"/>
    </row>
    <row r="131" ht="15.75" customHeight="1"/>
    <row r="132" ht="15.75" customHeight="1">
      <c r="B132" s="84">
        <v>46151.0</v>
      </c>
      <c r="C132" s="66" t="s">
        <v>203</v>
      </c>
      <c r="D132" s="66">
        <v>100.0</v>
      </c>
      <c r="E132" s="67"/>
      <c r="F132" s="66">
        <v>56.0</v>
      </c>
      <c r="G132" s="66">
        <v>5600.0</v>
      </c>
      <c r="H132" s="69">
        <v>61800.0</v>
      </c>
      <c r="I132" s="70">
        <v>391.0</v>
      </c>
    </row>
    <row r="133" ht="15.75" customHeight="1">
      <c r="B133" s="20"/>
      <c r="C133" s="65" t="s">
        <v>204</v>
      </c>
      <c r="D133" s="65">
        <v>100.0</v>
      </c>
      <c r="E133" s="71"/>
      <c r="F133" s="65">
        <v>56.0</v>
      </c>
      <c r="G133" s="65">
        <v>5600.0</v>
      </c>
      <c r="H133" s="27"/>
      <c r="I133" s="28"/>
    </row>
    <row r="134" ht="15.75" customHeight="1">
      <c r="B134" s="20"/>
      <c r="C134" s="65" t="s">
        <v>206</v>
      </c>
      <c r="D134" s="65">
        <v>100.0</v>
      </c>
      <c r="E134" s="71"/>
      <c r="F134" s="65">
        <v>56.0</v>
      </c>
      <c r="G134" s="65">
        <v>5600.0</v>
      </c>
      <c r="H134" s="27"/>
      <c r="I134" s="28"/>
    </row>
    <row r="135" ht="15.75" customHeight="1">
      <c r="B135" s="23"/>
      <c r="C135" s="114" t="s">
        <v>207</v>
      </c>
      <c r="D135" s="115">
        <v>500.0</v>
      </c>
      <c r="E135" s="116"/>
      <c r="F135" s="115">
        <v>90.0</v>
      </c>
      <c r="G135" s="117">
        <v>45000.0</v>
      </c>
      <c r="H135" s="30"/>
      <c r="I135" s="31"/>
    </row>
    <row r="136" ht="15.75" customHeight="1"/>
    <row r="137" ht="15.75" customHeight="1">
      <c r="B137" s="98">
        <v>46154.0</v>
      </c>
      <c r="C137" s="114" t="s">
        <v>207</v>
      </c>
      <c r="D137" s="115">
        <v>500.0</v>
      </c>
      <c r="E137" s="116"/>
      <c r="F137" s="115">
        <v>90.0</v>
      </c>
      <c r="G137" s="117">
        <v>45000.0</v>
      </c>
      <c r="H137" s="69">
        <f>G137+G138</f>
        <v>56200</v>
      </c>
      <c r="I137" s="70">
        <v>369.0</v>
      </c>
    </row>
    <row r="138" ht="15.75" customHeight="1">
      <c r="B138" s="85"/>
      <c r="C138" s="66" t="s">
        <v>211</v>
      </c>
      <c r="D138" s="100">
        <v>200.0</v>
      </c>
      <c r="E138" s="74"/>
      <c r="F138" s="73">
        <v>56.0</v>
      </c>
      <c r="G138" s="68">
        <f>F138*D138</f>
        <v>11200</v>
      </c>
      <c r="H138" s="30"/>
      <c r="I138" s="31"/>
    </row>
    <row r="139" ht="15.75" customHeight="1"/>
    <row r="140" ht="15.75" customHeight="1">
      <c r="B140" s="98">
        <v>46159.0</v>
      </c>
      <c r="C140" s="118" t="s">
        <v>207</v>
      </c>
      <c r="D140" s="65">
        <v>500.0</v>
      </c>
      <c r="E140" s="71"/>
      <c r="F140" s="65">
        <v>90.0</v>
      </c>
      <c r="G140" s="117">
        <v>45000.0</v>
      </c>
      <c r="H140" s="69">
        <f>G140+G141</f>
        <v>75000</v>
      </c>
      <c r="I140" s="70">
        <v>402.0</v>
      </c>
    </row>
    <row r="141" ht="15.75" customHeight="1">
      <c r="B141" s="85"/>
      <c r="C141" s="119" t="s">
        <v>213</v>
      </c>
      <c r="D141" s="100">
        <v>500.0</v>
      </c>
      <c r="E141" s="74"/>
      <c r="F141" s="73">
        <v>60.0</v>
      </c>
      <c r="G141" s="68">
        <f>F141*D141</f>
        <v>30000</v>
      </c>
      <c r="H141" s="30"/>
      <c r="I141" s="31"/>
    </row>
    <row r="142" ht="15.75" customHeight="1"/>
    <row r="143" ht="15.75" customHeight="1">
      <c r="B143" s="120">
        <v>46176.0</v>
      </c>
      <c r="C143" s="77" t="s">
        <v>214</v>
      </c>
      <c r="D143" s="77">
        <v>400.0</v>
      </c>
      <c r="E143" s="79"/>
      <c r="F143" s="77">
        <v>72.0</v>
      </c>
      <c r="G143" s="81">
        <v>28800.0</v>
      </c>
      <c r="H143" s="81">
        <v>28800.0</v>
      </c>
      <c r="I143" s="82">
        <v>407.0</v>
      </c>
    </row>
    <row r="144" ht="15.75" customHeight="1"/>
    <row r="145" ht="15.75" customHeight="1">
      <c r="B145" s="76">
        <v>46181.0</v>
      </c>
      <c r="C145" s="77" t="s">
        <v>164</v>
      </c>
      <c r="D145" s="77">
        <v>1000.0</v>
      </c>
      <c r="E145" s="79"/>
      <c r="F145" s="77">
        <v>50.0</v>
      </c>
      <c r="G145" s="81">
        <v>50000.0</v>
      </c>
      <c r="H145" s="81">
        <v>50000.0</v>
      </c>
      <c r="I145" s="82">
        <v>408.0</v>
      </c>
    </row>
    <row r="146" ht="15.75" customHeight="1">
      <c r="B146" s="83"/>
      <c r="C146" s="83"/>
      <c r="D146" s="83"/>
      <c r="E146" s="83"/>
      <c r="F146" s="83"/>
      <c r="G146" s="83"/>
      <c r="H146" s="83"/>
      <c r="I146" s="83"/>
    </row>
    <row r="147" ht="15.75" customHeight="1">
      <c r="B147" s="120">
        <v>46184.0</v>
      </c>
      <c r="C147" s="77" t="s">
        <v>214</v>
      </c>
      <c r="D147" s="77">
        <v>1200.0</v>
      </c>
      <c r="E147" s="79"/>
      <c r="F147" s="77">
        <v>72.0</v>
      </c>
      <c r="G147" s="81">
        <f>D147*F147</f>
        <v>86400</v>
      </c>
      <c r="H147" s="81">
        <f>G147</f>
        <v>86400</v>
      </c>
      <c r="I147" s="82">
        <v>414.0</v>
      </c>
    </row>
    <row r="148" ht="15.75" customHeight="1">
      <c r="B148" s="83"/>
      <c r="C148" s="83"/>
      <c r="D148" s="83"/>
      <c r="E148" s="83"/>
      <c r="F148" s="83"/>
      <c r="G148" s="83"/>
      <c r="H148" s="83"/>
      <c r="I148" s="83"/>
    </row>
    <row r="149" ht="15.75" customHeight="1">
      <c r="B149" s="120">
        <v>46202.0</v>
      </c>
      <c r="C149" s="77" t="s">
        <v>217</v>
      </c>
      <c r="D149" s="77">
        <v>1500.0</v>
      </c>
      <c r="E149" s="79"/>
      <c r="F149" s="77">
        <v>50.0</v>
      </c>
      <c r="G149" s="81">
        <f>D149*F149</f>
        <v>75000</v>
      </c>
      <c r="H149" s="81">
        <f>G149</f>
        <v>75000</v>
      </c>
      <c r="I149" s="82">
        <v>428.0</v>
      </c>
    </row>
    <row r="150" ht="15.75" customHeight="1">
      <c r="B150" s="83"/>
      <c r="C150" s="83"/>
      <c r="D150" s="83"/>
      <c r="E150" s="83"/>
      <c r="F150" s="83"/>
      <c r="G150" s="83"/>
      <c r="H150" s="83"/>
      <c r="I150" s="83"/>
    </row>
    <row r="151" ht="15.75" customHeight="1">
      <c r="B151" s="120">
        <v>46226.0</v>
      </c>
      <c r="C151" s="77" t="s">
        <v>217</v>
      </c>
      <c r="D151" s="77">
        <v>1000.0</v>
      </c>
      <c r="E151" s="79"/>
      <c r="F151" s="77">
        <v>50.0</v>
      </c>
      <c r="G151" s="81">
        <f>D151*F151</f>
        <v>50000</v>
      </c>
      <c r="H151" s="81">
        <f>G151</f>
        <v>50000</v>
      </c>
      <c r="I151" s="82">
        <v>431.0</v>
      </c>
    </row>
    <row r="152" ht="15.75" customHeight="1">
      <c r="B152" s="83"/>
      <c r="C152" s="83"/>
      <c r="D152" s="83"/>
      <c r="E152" s="83"/>
      <c r="F152" s="83"/>
      <c r="G152" s="83"/>
      <c r="H152" s="83"/>
      <c r="I152" s="83"/>
    </row>
    <row r="153" ht="15.75" customHeight="1">
      <c r="B153" s="83"/>
      <c r="C153" s="83"/>
      <c r="D153" s="83"/>
      <c r="E153" s="83"/>
      <c r="F153" s="83"/>
      <c r="G153" s="83"/>
      <c r="H153" s="83"/>
      <c r="I153" s="83"/>
    </row>
    <row r="154" ht="15.75" customHeight="1">
      <c r="B154" s="83"/>
      <c r="C154" s="83"/>
      <c r="D154" s="83"/>
      <c r="E154" s="83"/>
      <c r="F154" s="83"/>
      <c r="G154" s="83"/>
      <c r="H154" s="83"/>
      <c r="I154" s="83"/>
    </row>
    <row r="155" ht="15.75" customHeight="1">
      <c r="B155" s="83"/>
      <c r="C155" s="83"/>
      <c r="D155" s="83"/>
      <c r="E155" s="83"/>
      <c r="F155" s="83"/>
      <c r="G155" s="83"/>
      <c r="H155" s="83"/>
      <c r="I155" s="83"/>
    </row>
    <row r="156" ht="15.75" customHeight="1">
      <c r="B156" s="83"/>
      <c r="C156" s="83"/>
      <c r="D156" s="83"/>
      <c r="E156" s="83"/>
      <c r="F156" s="83"/>
      <c r="G156" s="83"/>
      <c r="H156" s="83"/>
      <c r="I156" s="83"/>
    </row>
    <row r="157" ht="15.75" customHeight="1">
      <c r="B157" s="83"/>
      <c r="C157" s="83"/>
      <c r="D157" s="83"/>
      <c r="E157" s="83"/>
      <c r="F157" s="83"/>
      <c r="G157" s="83"/>
      <c r="H157" s="83"/>
      <c r="I157" s="83"/>
    </row>
    <row r="158" ht="15.75" customHeight="1">
      <c r="B158" s="83"/>
      <c r="C158" s="83"/>
      <c r="D158" s="83"/>
      <c r="E158" s="83"/>
      <c r="F158" s="83"/>
      <c r="G158" s="83"/>
      <c r="H158" s="83"/>
      <c r="I158" s="83"/>
    </row>
    <row r="159" ht="15.75" customHeight="1">
      <c r="B159" s="83"/>
      <c r="C159" s="83"/>
      <c r="D159" s="83"/>
      <c r="E159" s="83"/>
      <c r="F159" s="83"/>
      <c r="G159" s="83"/>
      <c r="H159" s="83"/>
      <c r="I159" s="83"/>
    </row>
    <row r="160" ht="15.75" customHeight="1">
      <c r="B160" s="83"/>
      <c r="C160" s="83"/>
      <c r="D160" s="83"/>
      <c r="E160" s="83"/>
      <c r="F160" s="83"/>
      <c r="G160" s="83"/>
      <c r="H160" s="83"/>
      <c r="I160" s="83"/>
    </row>
    <row r="161" ht="15.75" customHeight="1">
      <c r="B161" s="83"/>
      <c r="C161" s="83"/>
      <c r="D161" s="83"/>
      <c r="E161" s="83"/>
      <c r="F161" s="83"/>
      <c r="G161" s="83"/>
      <c r="H161" s="83"/>
      <c r="I161" s="83"/>
    </row>
    <row r="162" ht="15.75" customHeight="1">
      <c r="B162" s="83"/>
      <c r="C162" s="83"/>
      <c r="D162" s="83"/>
      <c r="E162" s="83"/>
      <c r="F162" s="83"/>
      <c r="G162" s="83"/>
      <c r="H162" s="83"/>
      <c r="I162" s="83"/>
    </row>
    <row r="163" ht="15.75" customHeight="1">
      <c r="B163" s="83"/>
      <c r="C163" s="83"/>
      <c r="D163" s="83"/>
      <c r="E163" s="83"/>
      <c r="F163" s="83"/>
      <c r="G163" s="83"/>
      <c r="H163" s="83"/>
      <c r="I163" s="83"/>
    </row>
    <row r="164" ht="15.75" customHeight="1">
      <c r="B164" s="83"/>
      <c r="C164" s="83"/>
      <c r="D164" s="83"/>
      <c r="E164" s="83"/>
      <c r="F164" s="83"/>
      <c r="G164" s="83"/>
      <c r="H164" s="83"/>
      <c r="I164" s="83"/>
    </row>
    <row r="165" ht="15.75" customHeight="1">
      <c r="B165" s="83"/>
      <c r="C165" s="83"/>
      <c r="D165" s="83"/>
      <c r="E165" s="83"/>
      <c r="F165" s="83"/>
      <c r="G165" s="83"/>
      <c r="H165" s="83"/>
      <c r="I165" s="83"/>
    </row>
    <row r="166" ht="15.75" customHeight="1">
      <c r="B166" s="83"/>
      <c r="C166" s="83"/>
      <c r="D166" s="83"/>
      <c r="E166" s="83"/>
      <c r="F166" s="83"/>
      <c r="G166" s="83"/>
      <c r="H166" s="83"/>
      <c r="I166" s="83"/>
    </row>
    <row r="167" ht="15.75" customHeight="1">
      <c r="B167" s="83"/>
      <c r="C167" s="83"/>
      <c r="D167" s="83"/>
      <c r="E167" s="83"/>
      <c r="F167" s="83"/>
      <c r="G167" s="83"/>
      <c r="H167" s="83"/>
      <c r="I167" s="83"/>
    </row>
    <row r="168" ht="15.75" customHeight="1">
      <c r="B168" s="83"/>
      <c r="C168" s="83"/>
      <c r="D168" s="83"/>
      <c r="E168" s="83"/>
      <c r="F168" s="83"/>
      <c r="G168" s="83"/>
      <c r="H168" s="83"/>
      <c r="I168" s="83"/>
    </row>
    <row r="169" ht="15.75" customHeight="1">
      <c r="B169" s="83"/>
      <c r="C169" s="83"/>
      <c r="D169" s="83"/>
      <c r="E169" s="83"/>
      <c r="F169" s="83"/>
      <c r="G169" s="83"/>
      <c r="H169" s="83"/>
      <c r="I169" s="83"/>
    </row>
    <row r="170" ht="15.75" customHeight="1">
      <c r="B170" s="83"/>
      <c r="C170" s="83"/>
      <c r="D170" s="83"/>
      <c r="E170" s="83"/>
      <c r="F170" s="83"/>
      <c r="G170" s="83"/>
      <c r="H170" s="83"/>
      <c r="I170" s="83"/>
    </row>
    <row r="171" ht="15.75" customHeight="1">
      <c r="B171" s="83"/>
      <c r="C171" s="83"/>
      <c r="D171" s="83"/>
      <c r="E171" s="83"/>
      <c r="F171" s="83"/>
      <c r="G171" s="83"/>
      <c r="H171" s="83"/>
      <c r="I171" s="83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97">
    <mergeCell ref="B46:B49"/>
    <mergeCell ref="B51:B54"/>
    <mergeCell ref="B56:B58"/>
    <mergeCell ref="B60:B62"/>
    <mergeCell ref="B64:B66"/>
    <mergeCell ref="B68:B69"/>
    <mergeCell ref="B71:B73"/>
    <mergeCell ref="B75:B77"/>
    <mergeCell ref="B79:B80"/>
    <mergeCell ref="B82:B84"/>
    <mergeCell ref="B86:B87"/>
    <mergeCell ref="B89:B90"/>
    <mergeCell ref="B94:B98"/>
    <mergeCell ref="B100:B101"/>
    <mergeCell ref="B137:B138"/>
    <mergeCell ref="B140:B141"/>
    <mergeCell ref="B105:B106"/>
    <mergeCell ref="B108:B109"/>
    <mergeCell ref="B115:B116"/>
    <mergeCell ref="B120:B122"/>
    <mergeCell ref="B124:B126"/>
    <mergeCell ref="B128:B130"/>
    <mergeCell ref="B132:B135"/>
    <mergeCell ref="H75:H77"/>
    <mergeCell ref="I75:I77"/>
    <mergeCell ref="H79:H80"/>
    <mergeCell ref="I79:I80"/>
    <mergeCell ref="H83:H84"/>
    <mergeCell ref="I83:I84"/>
    <mergeCell ref="I86:I87"/>
    <mergeCell ref="H86:H87"/>
    <mergeCell ref="H89:H90"/>
    <mergeCell ref="I89:I90"/>
    <mergeCell ref="H94:H98"/>
    <mergeCell ref="I94:I98"/>
    <mergeCell ref="H100:H101"/>
    <mergeCell ref="I100:I101"/>
    <mergeCell ref="H108:H109"/>
    <mergeCell ref="I108:I109"/>
    <mergeCell ref="H115:H116"/>
    <mergeCell ref="I115:I116"/>
    <mergeCell ref="H120:H122"/>
    <mergeCell ref="I120:I122"/>
    <mergeCell ref="I124:I126"/>
    <mergeCell ref="H140:H141"/>
    <mergeCell ref="I140:I141"/>
    <mergeCell ref="H124:H126"/>
    <mergeCell ref="H128:H130"/>
    <mergeCell ref="I128:I130"/>
    <mergeCell ref="H132:H135"/>
    <mergeCell ref="I132:I135"/>
    <mergeCell ref="H137:H138"/>
    <mergeCell ref="I137:I138"/>
    <mergeCell ref="B1:I1"/>
    <mergeCell ref="B3:B6"/>
    <mergeCell ref="H3:H6"/>
    <mergeCell ref="I3:I6"/>
    <mergeCell ref="B10:B13"/>
    <mergeCell ref="I10:I13"/>
    <mergeCell ref="I15:I17"/>
    <mergeCell ref="H10:H13"/>
    <mergeCell ref="H15:H17"/>
    <mergeCell ref="H19:H21"/>
    <mergeCell ref="I19:I21"/>
    <mergeCell ref="H25:H27"/>
    <mergeCell ref="I25:I27"/>
    <mergeCell ref="I29:I31"/>
    <mergeCell ref="H29:H31"/>
    <mergeCell ref="H33:H36"/>
    <mergeCell ref="I33:I36"/>
    <mergeCell ref="H40:H41"/>
    <mergeCell ref="I40:I41"/>
    <mergeCell ref="H43:H44"/>
    <mergeCell ref="I43:I44"/>
    <mergeCell ref="B15:B17"/>
    <mergeCell ref="B19:B21"/>
    <mergeCell ref="B25:B27"/>
    <mergeCell ref="B29:B31"/>
    <mergeCell ref="B33:B36"/>
    <mergeCell ref="B40:B41"/>
    <mergeCell ref="B43:B44"/>
    <mergeCell ref="H46:H49"/>
    <mergeCell ref="I46:I49"/>
    <mergeCell ref="H51:H54"/>
    <mergeCell ref="I51:I54"/>
    <mergeCell ref="H56:H58"/>
    <mergeCell ref="I56:I58"/>
    <mergeCell ref="I60:I62"/>
    <mergeCell ref="H60:H62"/>
    <mergeCell ref="H64:H66"/>
    <mergeCell ref="I64:I66"/>
    <mergeCell ref="H68:H69"/>
    <mergeCell ref="I68:I69"/>
    <mergeCell ref="H71:H73"/>
    <mergeCell ref="I71:I73"/>
    <mergeCell ref="H105:H106"/>
    <mergeCell ref="I105:I10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9.29"/>
  </cols>
  <sheetData>
    <row r="1">
      <c r="A1" s="143"/>
      <c r="B1" s="146" t="s">
        <v>280</v>
      </c>
      <c r="C1" s="2"/>
      <c r="D1" s="2"/>
      <c r="E1" s="2"/>
      <c r="F1" s="2"/>
      <c r="G1" s="2"/>
      <c r="H1" s="2"/>
      <c r="I1" s="3"/>
    </row>
    <row r="2">
      <c r="A2" s="143"/>
      <c r="B2" s="4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8" t="s">
        <v>11</v>
      </c>
    </row>
    <row r="3">
      <c r="A3" s="35"/>
      <c r="B3" s="39">
        <v>46048.0</v>
      </c>
      <c r="C3" s="15" t="s">
        <v>285</v>
      </c>
      <c r="D3" s="15">
        <v>400.0</v>
      </c>
      <c r="E3" s="12"/>
      <c r="F3" s="15">
        <v>75.0</v>
      </c>
      <c r="G3" s="17">
        <f>+F3*D3</f>
        <v>30000</v>
      </c>
      <c r="H3" s="41">
        <f>G3</f>
        <v>30000</v>
      </c>
      <c r="I3" s="42">
        <v>208.0</v>
      </c>
      <c r="J3" s="102" t="s">
        <v>289</v>
      </c>
    </row>
    <row r="5">
      <c r="B5" s="14">
        <v>46051.0</v>
      </c>
      <c r="C5" s="15" t="s">
        <v>285</v>
      </c>
      <c r="D5" s="15">
        <v>400.0</v>
      </c>
      <c r="E5" s="12"/>
      <c r="F5" s="15">
        <v>75.0</v>
      </c>
      <c r="G5" s="17">
        <f t="shared" ref="G5:G9" si="1">+F5*D5</f>
        <v>30000</v>
      </c>
      <c r="H5" s="18">
        <f>+G5+G8+G9+G6+G7</f>
        <v>206100</v>
      </c>
      <c r="I5" s="21">
        <v>215.0</v>
      </c>
    </row>
    <row r="6">
      <c r="B6" s="20"/>
      <c r="C6" s="24" t="s">
        <v>292</v>
      </c>
      <c r="D6" s="47">
        <v>300.0</v>
      </c>
      <c r="E6" s="48"/>
      <c r="F6" s="15">
        <v>95.0</v>
      </c>
      <c r="G6" s="17">
        <f t="shared" si="1"/>
        <v>28500</v>
      </c>
      <c r="H6" s="27"/>
      <c r="I6" s="28"/>
    </row>
    <row r="7">
      <c r="B7" s="20"/>
      <c r="C7" s="24" t="s">
        <v>293</v>
      </c>
      <c r="D7" s="47">
        <v>400.0</v>
      </c>
      <c r="E7" s="48"/>
      <c r="F7" s="15">
        <v>75.0</v>
      </c>
      <c r="G7" s="17">
        <f t="shared" si="1"/>
        <v>30000</v>
      </c>
      <c r="H7" s="27"/>
      <c r="I7" s="28"/>
      <c r="J7" s="102" t="s">
        <v>296</v>
      </c>
    </row>
    <row r="8">
      <c r="B8" s="20"/>
      <c r="C8" s="24" t="s">
        <v>297</v>
      </c>
      <c r="D8" s="40">
        <v>700.0</v>
      </c>
      <c r="E8" s="22"/>
      <c r="F8" s="40">
        <v>93.0</v>
      </c>
      <c r="G8" s="26">
        <f t="shared" si="1"/>
        <v>65100</v>
      </c>
      <c r="H8" s="27"/>
      <c r="I8" s="28"/>
      <c r="J8" s="102" t="s">
        <v>299</v>
      </c>
    </row>
    <row r="9">
      <c r="B9" s="23"/>
      <c r="C9" s="24" t="s">
        <v>300</v>
      </c>
      <c r="D9" s="24">
        <v>700.0</v>
      </c>
      <c r="E9" s="25"/>
      <c r="F9" s="24">
        <v>75.0</v>
      </c>
      <c r="G9" s="29">
        <f t="shared" si="1"/>
        <v>52500</v>
      </c>
      <c r="H9" s="30"/>
      <c r="I9" s="31"/>
    </row>
    <row r="11">
      <c r="B11" s="14">
        <v>46057.0</v>
      </c>
      <c r="C11" s="15" t="s">
        <v>20</v>
      </c>
      <c r="D11" s="15">
        <v>700.0</v>
      </c>
      <c r="E11" s="12"/>
      <c r="F11" s="15">
        <v>75.0</v>
      </c>
      <c r="G11" s="17">
        <f t="shared" ref="G11:G18" si="2">+F11*D11</f>
        <v>52500</v>
      </c>
      <c r="H11" s="18">
        <f>+G11+G17+G18+G15+G16+G12+G13+G14</f>
        <v>358000</v>
      </c>
      <c r="I11" s="21">
        <v>226.0</v>
      </c>
    </row>
    <row r="12">
      <c r="B12" s="20"/>
      <c r="C12" s="40" t="s">
        <v>12</v>
      </c>
      <c r="D12" s="47">
        <v>700.0</v>
      </c>
      <c r="E12" s="48"/>
      <c r="F12" s="15">
        <v>95.0</v>
      </c>
      <c r="G12" s="17">
        <f t="shared" si="2"/>
        <v>66500</v>
      </c>
      <c r="H12" s="27"/>
      <c r="I12" s="28"/>
    </row>
    <row r="13">
      <c r="B13" s="20"/>
      <c r="C13" s="40" t="s">
        <v>304</v>
      </c>
      <c r="D13" s="47">
        <v>700.0</v>
      </c>
      <c r="E13" s="48"/>
      <c r="F13" s="15">
        <v>75.0</v>
      </c>
      <c r="G13" s="17">
        <f t="shared" si="2"/>
        <v>52500</v>
      </c>
      <c r="H13" s="27"/>
      <c r="I13" s="28"/>
    </row>
    <row r="14">
      <c r="B14" s="20"/>
      <c r="C14" s="40" t="s">
        <v>305</v>
      </c>
      <c r="D14" s="47">
        <v>700.0</v>
      </c>
      <c r="E14" s="48"/>
      <c r="F14" s="15">
        <v>90.0</v>
      </c>
      <c r="G14" s="17">
        <f t="shared" si="2"/>
        <v>63000</v>
      </c>
      <c r="H14" s="27"/>
      <c r="I14" s="28"/>
      <c r="J14" s="102" t="s">
        <v>307</v>
      </c>
    </row>
    <row r="15">
      <c r="B15" s="20"/>
      <c r="C15" s="24" t="s">
        <v>292</v>
      </c>
      <c r="D15" s="47">
        <v>400.0</v>
      </c>
      <c r="E15" s="48"/>
      <c r="F15" s="15">
        <v>95.0</v>
      </c>
      <c r="G15" s="17">
        <f t="shared" si="2"/>
        <v>38000</v>
      </c>
      <c r="H15" s="27"/>
      <c r="I15" s="28"/>
      <c r="J15" s="102" t="s">
        <v>308</v>
      </c>
    </row>
    <row r="16">
      <c r="B16" s="20"/>
      <c r="C16" s="24" t="s">
        <v>293</v>
      </c>
      <c r="D16" s="47">
        <v>300.0</v>
      </c>
      <c r="E16" s="48"/>
      <c r="F16" s="15">
        <v>75.0</v>
      </c>
      <c r="G16" s="17">
        <f t="shared" si="2"/>
        <v>22500</v>
      </c>
      <c r="H16" s="27"/>
      <c r="I16" s="28"/>
    </row>
    <row r="17">
      <c r="B17" s="20"/>
      <c r="C17" s="24" t="s">
        <v>297</v>
      </c>
      <c r="D17" s="40">
        <v>200.0</v>
      </c>
      <c r="E17" s="22"/>
      <c r="F17" s="40">
        <v>90.0</v>
      </c>
      <c r="G17" s="17">
        <f t="shared" si="2"/>
        <v>18000</v>
      </c>
      <c r="H17" s="27"/>
      <c r="I17" s="28"/>
    </row>
    <row r="18">
      <c r="B18" s="23"/>
      <c r="C18" s="24" t="s">
        <v>311</v>
      </c>
      <c r="D18" s="24">
        <v>500.0</v>
      </c>
      <c r="E18" s="25"/>
      <c r="F18" s="24">
        <v>90.0</v>
      </c>
      <c r="G18" s="17">
        <f t="shared" si="2"/>
        <v>45000</v>
      </c>
      <c r="H18" s="30"/>
      <c r="I18" s="31"/>
    </row>
    <row r="20">
      <c r="B20" s="39">
        <v>46061.0</v>
      </c>
      <c r="C20" s="15" t="s">
        <v>313</v>
      </c>
      <c r="D20" s="15">
        <v>200.0</v>
      </c>
      <c r="E20" s="12"/>
      <c r="F20" s="15">
        <v>75.0</v>
      </c>
      <c r="G20" s="17">
        <f>+F20*D20</f>
        <v>15000</v>
      </c>
      <c r="H20" s="41">
        <f>G20</f>
        <v>15000</v>
      </c>
      <c r="I20" s="42">
        <v>235.0</v>
      </c>
      <c r="J20" s="102" t="s">
        <v>316</v>
      </c>
      <c r="L20" s="102" t="s">
        <v>317</v>
      </c>
    </row>
    <row r="22">
      <c r="B22" s="39">
        <v>46071.0</v>
      </c>
      <c r="C22" s="24" t="s">
        <v>292</v>
      </c>
      <c r="D22" s="40">
        <v>1200.0</v>
      </c>
      <c r="E22" s="22"/>
      <c r="F22" s="156">
        <v>95.0</v>
      </c>
      <c r="G22" s="41">
        <f>+F22*D22</f>
        <v>114000</v>
      </c>
      <c r="H22" s="41">
        <f>G22</f>
        <v>114000</v>
      </c>
      <c r="I22" s="42">
        <v>251.0</v>
      </c>
      <c r="J22" s="102" t="s">
        <v>319</v>
      </c>
      <c r="L22" s="102" t="s">
        <v>320</v>
      </c>
    </row>
    <row r="23">
      <c r="D23" s="158"/>
      <c r="E23" s="158"/>
    </row>
    <row r="24">
      <c r="B24" s="39">
        <v>46072.0</v>
      </c>
      <c r="C24" s="40" t="s">
        <v>12</v>
      </c>
      <c r="D24" s="40">
        <v>300.0</v>
      </c>
      <c r="E24" s="22"/>
      <c r="F24" s="156">
        <v>95.0</v>
      </c>
      <c r="G24" s="41">
        <f>+F24*D24</f>
        <v>28500</v>
      </c>
      <c r="H24" s="41">
        <f>G24</f>
        <v>28500</v>
      </c>
      <c r="I24" s="42">
        <v>253.0</v>
      </c>
      <c r="J24" s="102" t="s">
        <v>324</v>
      </c>
      <c r="L24" s="102" t="s">
        <v>325</v>
      </c>
    </row>
    <row r="26">
      <c r="B26" s="162">
        <v>46072.0</v>
      </c>
      <c r="C26" s="24" t="s">
        <v>292</v>
      </c>
      <c r="D26" s="40">
        <v>160.0</v>
      </c>
      <c r="E26" s="22"/>
      <c r="F26" s="15">
        <v>95.0</v>
      </c>
      <c r="G26" s="17">
        <f t="shared" ref="G26:G27" si="3">+F26*D26</f>
        <v>15200</v>
      </c>
      <c r="H26" s="18">
        <f>G26+G27</f>
        <v>33800</v>
      </c>
      <c r="I26" s="21">
        <v>265.0</v>
      </c>
      <c r="J26" s="102"/>
    </row>
    <row r="27">
      <c r="B27" s="164"/>
      <c r="C27" s="40" t="s">
        <v>327</v>
      </c>
      <c r="D27" s="40">
        <v>200.0</v>
      </c>
      <c r="E27" s="22"/>
      <c r="F27" s="24">
        <v>93.0</v>
      </c>
      <c r="G27" s="29">
        <f t="shared" si="3"/>
        <v>18600</v>
      </c>
      <c r="H27" s="30"/>
      <c r="I27" s="31"/>
      <c r="J27" s="102" t="s">
        <v>328</v>
      </c>
      <c r="L27" s="102" t="s">
        <v>329</v>
      </c>
    </row>
    <row r="29">
      <c r="B29" s="39">
        <v>46092.0</v>
      </c>
      <c r="C29" s="24" t="s">
        <v>330</v>
      </c>
      <c r="D29" s="40">
        <v>400.0</v>
      </c>
      <c r="E29" s="22"/>
      <c r="F29" s="40">
        <v>82.0</v>
      </c>
      <c r="G29" s="17">
        <f>+F29*D29</f>
        <v>32800</v>
      </c>
      <c r="H29" s="41">
        <f>G29</f>
        <v>32800</v>
      </c>
      <c r="I29" s="42">
        <v>293.0</v>
      </c>
      <c r="J29" s="102" t="s">
        <v>333</v>
      </c>
    </row>
    <row r="31">
      <c r="B31" s="14">
        <v>46098.0</v>
      </c>
      <c r="C31" s="40" t="s">
        <v>327</v>
      </c>
      <c r="D31" s="15">
        <v>570.0</v>
      </c>
      <c r="E31" s="12"/>
      <c r="F31" s="15">
        <v>90.0</v>
      </c>
      <c r="G31" s="17">
        <f t="shared" ref="G31:G34" si="4">+F31*D31</f>
        <v>51300</v>
      </c>
      <c r="H31" s="18">
        <f>+G31+G33+G34+G32</f>
        <v>202900</v>
      </c>
      <c r="I31" s="21">
        <v>297.0</v>
      </c>
    </row>
    <row r="32">
      <c r="B32" s="20"/>
      <c r="C32" s="15" t="s">
        <v>20</v>
      </c>
      <c r="D32" s="47">
        <v>600.0</v>
      </c>
      <c r="E32" s="48"/>
      <c r="F32" s="15">
        <v>75.0</v>
      </c>
      <c r="G32" s="17">
        <f t="shared" si="4"/>
        <v>45000</v>
      </c>
      <c r="H32" s="27"/>
      <c r="I32" s="28"/>
      <c r="J32" s="102" t="s">
        <v>336</v>
      </c>
    </row>
    <row r="33">
      <c r="B33" s="20"/>
      <c r="C33" s="24" t="s">
        <v>330</v>
      </c>
      <c r="D33" s="40">
        <v>600.0</v>
      </c>
      <c r="E33" s="22"/>
      <c r="F33" s="40">
        <v>82.0</v>
      </c>
      <c r="G33" s="26">
        <f t="shared" si="4"/>
        <v>49200</v>
      </c>
      <c r="H33" s="27"/>
      <c r="I33" s="28"/>
      <c r="J33" s="102" t="s">
        <v>337</v>
      </c>
    </row>
    <row r="34">
      <c r="B34" s="23"/>
      <c r="C34" s="24" t="s">
        <v>330</v>
      </c>
      <c r="D34" s="24">
        <v>700.0</v>
      </c>
      <c r="E34" s="25"/>
      <c r="F34" s="24">
        <v>82.0</v>
      </c>
      <c r="G34" s="29">
        <f t="shared" si="4"/>
        <v>57400</v>
      </c>
      <c r="H34" s="30"/>
      <c r="I34" s="31"/>
    </row>
    <row r="36">
      <c r="B36" s="51">
        <v>46111.0</v>
      </c>
      <c r="C36" s="90" t="s">
        <v>338</v>
      </c>
      <c r="D36" s="90">
        <v>300.0</v>
      </c>
      <c r="E36" s="89"/>
      <c r="F36" s="90">
        <v>82.0</v>
      </c>
      <c r="G36" s="60">
        <v>24600.0</v>
      </c>
      <c r="H36" s="56">
        <v>30900.0</v>
      </c>
      <c r="I36" s="57">
        <v>310.0</v>
      </c>
      <c r="J36" s="102" t="s">
        <v>340</v>
      </c>
    </row>
    <row r="37">
      <c r="B37" s="23"/>
      <c r="C37" s="97" t="s">
        <v>341</v>
      </c>
      <c r="D37" s="97">
        <v>152.0</v>
      </c>
      <c r="E37" s="96"/>
      <c r="F37" s="97">
        <v>42.0</v>
      </c>
      <c r="G37" s="62">
        <v>6300.0</v>
      </c>
      <c r="H37" s="30"/>
      <c r="I37" s="31"/>
      <c r="J37" s="102" t="s">
        <v>342</v>
      </c>
    </row>
    <row r="39">
      <c r="B39" s="76">
        <v>46133.0</v>
      </c>
      <c r="C39" s="77" t="s">
        <v>343</v>
      </c>
      <c r="D39" s="77">
        <v>700.0</v>
      </c>
      <c r="E39" s="79"/>
      <c r="F39" s="77">
        <v>95.0</v>
      </c>
      <c r="G39" s="81">
        <v>66500.0</v>
      </c>
      <c r="H39" s="81">
        <v>66500.0</v>
      </c>
      <c r="I39" s="82">
        <v>361.0</v>
      </c>
      <c r="J39" s="102" t="s">
        <v>344</v>
      </c>
    </row>
    <row r="41">
      <c r="B41" s="51">
        <v>46134.0</v>
      </c>
      <c r="C41" s="90" t="s">
        <v>345</v>
      </c>
      <c r="D41" s="90">
        <v>1000.0</v>
      </c>
      <c r="E41" s="89"/>
      <c r="F41" s="90">
        <v>100.0</v>
      </c>
      <c r="G41" s="60">
        <f t="shared" ref="G41:G42" si="5">F41*D41</f>
        <v>100000</v>
      </c>
      <c r="H41" s="56">
        <f>G41+G42</f>
        <v>166500</v>
      </c>
      <c r="I41" s="57">
        <v>364.0</v>
      </c>
    </row>
    <row r="42">
      <c r="B42" s="23"/>
      <c r="C42" s="97" t="s">
        <v>346</v>
      </c>
      <c r="D42" s="97">
        <v>700.0</v>
      </c>
      <c r="E42" s="96"/>
      <c r="F42" s="97">
        <v>95.0</v>
      </c>
      <c r="G42" s="60">
        <f t="shared" si="5"/>
        <v>66500</v>
      </c>
      <c r="H42" s="30"/>
      <c r="I42" s="31"/>
    </row>
    <row r="44">
      <c r="B44" s="51">
        <v>46135.0</v>
      </c>
      <c r="C44" s="90" t="s">
        <v>345</v>
      </c>
      <c r="D44" s="90">
        <v>400.0</v>
      </c>
      <c r="E44" s="89"/>
      <c r="F44" s="90">
        <v>95.0</v>
      </c>
      <c r="G44" s="60">
        <f t="shared" ref="G44:G45" si="6">F44*D44</f>
        <v>38000</v>
      </c>
      <c r="H44" s="56">
        <f>G44+G45</f>
        <v>57000</v>
      </c>
      <c r="I44" s="57">
        <v>368.0</v>
      </c>
    </row>
    <row r="45">
      <c r="B45" s="23"/>
      <c r="C45" s="97" t="s">
        <v>346</v>
      </c>
      <c r="D45" s="97">
        <v>200.0</v>
      </c>
      <c r="E45" s="96"/>
      <c r="F45" s="97">
        <v>95.0</v>
      </c>
      <c r="G45" s="60">
        <f t="shared" si="6"/>
        <v>19000</v>
      </c>
      <c r="H45" s="30"/>
      <c r="I45" s="31"/>
    </row>
    <row r="46">
      <c r="B46" s="83"/>
      <c r="C46" s="83"/>
      <c r="D46" s="83"/>
      <c r="E46" s="83"/>
      <c r="F46" s="83"/>
      <c r="G46" s="83"/>
      <c r="H46" s="83"/>
      <c r="I46" s="83"/>
      <c r="J46" s="83"/>
    </row>
    <row r="47">
      <c r="B47" s="76">
        <v>46138.0</v>
      </c>
      <c r="C47" s="77" t="s">
        <v>208</v>
      </c>
      <c r="D47" s="77">
        <v>600.0</v>
      </c>
      <c r="E47" s="79"/>
      <c r="F47" s="77">
        <v>95.0</v>
      </c>
      <c r="G47" s="81">
        <v>57000.0</v>
      </c>
      <c r="H47" s="81">
        <v>57000.0</v>
      </c>
      <c r="I47" s="82">
        <v>371.0</v>
      </c>
      <c r="J47" s="83"/>
    </row>
    <row r="49">
      <c r="B49" s="83"/>
      <c r="C49" s="83"/>
      <c r="D49" s="83"/>
      <c r="E49" s="83"/>
      <c r="F49" s="83"/>
      <c r="G49" s="83"/>
      <c r="H49" s="83"/>
      <c r="I49" s="83"/>
    </row>
    <row r="50">
      <c r="B50" s="83"/>
      <c r="C50" s="83"/>
      <c r="D50" s="83"/>
      <c r="E50" s="83"/>
      <c r="F50" s="83"/>
      <c r="G50" s="83"/>
      <c r="H50" s="83"/>
      <c r="I50" s="83"/>
    </row>
    <row r="51">
      <c r="B51" s="83"/>
      <c r="C51" s="83"/>
      <c r="D51" s="83"/>
      <c r="E51" s="83"/>
      <c r="F51" s="83"/>
      <c r="G51" s="83"/>
      <c r="H51" s="83"/>
      <c r="I51" s="83"/>
    </row>
    <row r="52">
      <c r="B52" s="83"/>
      <c r="C52" s="83"/>
      <c r="D52" s="83"/>
      <c r="E52" s="83"/>
      <c r="F52" s="83"/>
      <c r="G52" s="83"/>
      <c r="H52" s="83"/>
      <c r="I52" s="83"/>
    </row>
    <row r="53">
      <c r="B53" s="83"/>
      <c r="C53" s="83"/>
      <c r="D53" s="83"/>
      <c r="E53" s="83"/>
      <c r="F53" s="83"/>
      <c r="G53" s="83"/>
      <c r="H53" s="83"/>
      <c r="I53" s="83"/>
    </row>
    <row r="54">
      <c r="B54" s="83"/>
      <c r="C54" s="83"/>
      <c r="D54" s="83"/>
      <c r="E54" s="83"/>
      <c r="F54" s="83"/>
      <c r="G54" s="83"/>
      <c r="H54" s="83"/>
      <c r="I54" s="83"/>
    </row>
    <row r="55">
      <c r="B55" s="83"/>
      <c r="C55" s="83"/>
      <c r="D55" s="83"/>
      <c r="E55" s="83"/>
      <c r="F55" s="83"/>
      <c r="G55" s="83"/>
      <c r="H55" s="83"/>
      <c r="I55" s="83"/>
    </row>
    <row r="56">
      <c r="B56" s="83"/>
      <c r="C56" s="83"/>
      <c r="D56" s="83"/>
      <c r="E56" s="83"/>
      <c r="F56" s="83"/>
      <c r="G56" s="83"/>
      <c r="H56" s="83"/>
      <c r="I56" s="83"/>
    </row>
    <row r="57">
      <c r="B57" s="83"/>
      <c r="C57" s="83"/>
      <c r="D57" s="83"/>
      <c r="E57" s="83"/>
      <c r="F57" s="83"/>
      <c r="G57" s="83"/>
      <c r="H57" s="83"/>
      <c r="I57" s="83"/>
    </row>
    <row r="58">
      <c r="B58" s="83"/>
      <c r="C58" s="83"/>
      <c r="D58" s="83"/>
      <c r="E58" s="83"/>
      <c r="F58" s="83"/>
      <c r="G58" s="83"/>
      <c r="H58" s="83"/>
      <c r="I58" s="83"/>
    </row>
    <row r="59">
      <c r="B59" s="83"/>
      <c r="C59" s="83"/>
      <c r="D59" s="83"/>
      <c r="E59" s="83"/>
      <c r="F59" s="83"/>
      <c r="G59" s="83"/>
      <c r="H59" s="83"/>
      <c r="I59" s="83"/>
    </row>
    <row r="60">
      <c r="B60" s="83"/>
      <c r="C60" s="83"/>
      <c r="D60" s="83"/>
      <c r="E60" s="83"/>
      <c r="F60" s="83"/>
      <c r="G60" s="83"/>
      <c r="H60" s="83"/>
      <c r="I60" s="83"/>
    </row>
    <row r="61">
      <c r="B61" s="83"/>
      <c r="C61" s="83"/>
      <c r="D61" s="83"/>
      <c r="E61" s="83"/>
      <c r="F61" s="83"/>
      <c r="G61" s="83"/>
      <c r="H61" s="83"/>
      <c r="I61" s="83"/>
    </row>
    <row r="62">
      <c r="B62" s="83"/>
      <c r="C62" s="83"/>
      <c r="D62" s="83"/>
      <c r="E62" s="83"/>
      <c r="F62" s="83"/>
      <c r="G62" s="83"/>
      <c r="H62" s="83"/>
      <c r="I62" s="83"/>
    </row>
    <row r="63">
      <c r="B63" s="83"/>
      <c r="C63" s="83"/>
      <c r="D63" s="83"/>
      <c r="E63" s="83"/>
      <c r="F63" s="83"/>
      <c r="G63" s="83"/>
      <c r="H63" s="83"/>
      <c r="I63" s="83"/>
    </row>
    <row r="64">
      <c r="B64" s="83"/>
      <c r="C64" s="83"/>
      <c r="D64" s="83"/>
      <c r="E64" s="83"/>
      <c r="F64" s="83"/>
      <c r="G64" s="83"/>
      <c r="H64" s="83"/>
      <c r="I64" s="83"/>
    </row>
    <row r="65">
      <c r="B65" s="83"/>
      <c r="C65" s="83"/>
      <c r="D65" s="83"/>
      <c r="E65" s="83"/>
      <c r="F65" s="83"/>
      <c r="G65" s="83"/>
      <c r="H65" s="83"/>
      <c r="I65" s="83"/>
    </row>
    <row r="66">
      <c r="B66" s="83"/>
      <c r="C66" s="83"/>
      <c r="D66" s="83"/>
      <c r="E66" s="83"/>
      <c r="F66" s="83"/>
      <c r="G66" s="83"/>
      <c r="H66" s="83"/>
      <c r="I66" s="83"/>
    </row>
    <row r="67">
      <c r="B67" s="83"/>
      <c r="C67" s="83"/>
      <c r="D67" s="83"/>
      <c r="E67" s="83"/>
      <c r="F67" s="83"/>
      <c r="G67" s="83"/>
      <c r="H67" s="83"/>
      <c r="I67" s="83"/>
    </row>
    <row r="68">
      <c r="B68" s="83"/>
      <c r="C68" s="83"/>
      <c r="D68" s="83"/>
      <c r="E68" s="83"/>
      <c r="F68" s="83"/>
      <c r="G68" s="83"/>
      <c r="H68" s="83"/>
      <c r="I68" s="83"/>
    </row>
    <row r="69">
      <c r="B69" s="83"/>
      <c r="C69" s="83"/>
      <c r="D69" s="83"/>
      <c r="E69" s="83"/>
      <c r="F69" s="83"/>
      <c r="G69" s="83"/>
      <c r="H69" s="83"/>
      <c r="I69" s="83"/>
    </row>
    <row r="70">
      <c r="B70" s="83"/>
      <c r="C70" s="83"/>
      <c r="D70" s="83"/>
      <c r="E70" s="83"/>
      <c r="F70" s="83"/>
      <c r="G70" s="83"/>
      <c r="H70" s="83"/>
      <c r="I70" s="83"/>
    </row>
  </sheetData>
  <mergeCells count="22">
    <mergeCell ref="B26:B27"/>
    <mergeCell ref="B31:B34"/>
    <mergeCell ref="B36:B37"/>
    <mergeCell ref="B41:B42"/>
    <mergeCell ref="B44:B45"/>
    <mergeCell ref="B1:I1"/>
    <mergeCell ref="B5:B9"/>
    <mergeCell ref="H5:H9"/>
    <mergeCell ref="I5:I9"/>
    <mergeCell ref="B11:B18"/>
    <mergeCell ref="I11:I18"/>
    <mergeCell ref="I26:I27"/>
    <mergeCell ref="H41:H42"/>
    <mergeCell ref="H44:H45"/>
    <mergeCell ref="I44:I45"/>
    <mergeCell ref="H11:H18"/>
    <mergeCell ref="H26:H27"/>
    <mergeCell ref="H31:H34"/>
    <mergeCell ref="I31:I34"/>
    <mergeCell ref="H36:H37"/>
    <mergeCell ref="I36:I37"/>
    <mergeCell ref="I41:I4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1.57"/>
    <col customWidth="1" min="4" max="4" width="13.43"/>
    <col customWidth="1" min="5" max="5" width="10.71"/>
    <col customWidth="1" min="6" max="6" width="12.29"/>
    <col customWidth="1" min="7" max="26" width="10.71"/>
  </cols>
  <sheetData>
    <row r="1">
      <c r="B1" s="1" t="s">
        <v>358</v>
      </c>
      <c r="C1" s="2"/>
      <c r="D1" s="2"/>
      <c r="E1" s="2"/>
      <c r="F1" s="2"/>
      <c r="G1" s="2"/>
      <c r="H1" s="2"/>
      <c r="I1" s="3"/>
    </row>
    <row r="2">
      <c r="B2" s="4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8" t="s">
        <v>11</v>
      </c>
    </row>
    <row r="3">
      <c r="B3" s="9">
        <v>46025.0</v>
      </c>
      <c r="C3" s="10" t="s">
        <v>12</v>
      </c>
      <c r="D3" s="10">
        <v>300.0</v>
      </c>
      <c r="E3" s="12"/>
      <c r="F3" s="10">
        <v>85.0</v>
      </c>
      <c r="G3" s="17">
        <f t="shared" ref="G3:G5" si="1">+F3*D3</f>
        <v>25500</v>
      </c>
      <c r="H3" s="18">
        <f>+G3+G4+G5</f>
        <v>38100</v>
      </c>
      <c r="I3" s="19">
        <v>169.0</v>
      </c>
    </row>
    <row r="4">
      <c r="B4" s="20"/>
      <c r="C4" s="8" t="s">
        <v>361</v>
      </c>
      <c r="D4" s="8">
        <v>100.0</v>
      </c>
      <c r="E4" s="22"/>
      <c r="F4" s="8">
        <v>70.0</v>
      </c>
      <c r="G4" s="26">
        <f t="shared" si="1"/>
        <v>7000</v>
      </c>
      <c r="H4" s="27"/>
      <c r="I4" s="28"/>
    </row>
    <row r="5">
      <c r="B5" s="23"/>
      <c r="C5" s="33" t="s">
        <v>363</v>
      </c>
      <c r="D5" s="33">
        <v>80.0</v>
      </c>
      <c r="E5" s="25"/>
      <c r="F5" s="33">
        <v>70.0</v>
      </c>
      <c r="G5" s="29">
        <f t="shared" si="1"/>
        <v>5600</v>
      </c>
      <c r="H5" s="30"/>
      <c r="I5" s="31"/>
    </row>
    <row r="7">
      <c r="B7" s="169"/>
      <c r="C7" s="8"/>
      <c r="D7" s="8"/>
      <c r="E7" s="22"/>
      <c r="F7" s="8"/>
      <c r="G7" s="26">
        <f t="shared" ref="G7:G23" si="2">+F7*D7</f>
        <v>0</v>
      </c>
      <c r="H7" s="26"/>
      <c r="I7" s="169"/>
    </row>
    <row r="8">
      <c r="B8" s="169"/>
      <c r="C8" s="8"/>
      <c r="D8" s="8"/>
      <c r="E8" s="22"/>
      <c r="F8" s="8"/>
      <c r="G8" s="26">
        <f t="shared" si="2"/>
        <v>0</v>
      </c>
      <c r="H8" s="26"/>
      <c r="I8" s="169"/>
    </row>
    <row r="9">
      <c r="B9" s="169"/>
      <c r="C9" s="8"/>
      <c r="D9" s="8"/>
      <c r="E9" s="22"/>
      <c r="F9" s="8"/>
      <c r="G9" s="26">
        <f t="shared" si="2"/>
        <v>0</v>
      </c>
      <c r="H9" s="26"/>
      <c r="I9" s="169"/>
    </row>
    <row r="10">
      <c r="B10" s="169"/>
      <c r="C10" s="8"/>
      <c r="D10" s="8"/>
      <c r="E10" s="22"/>
      <c r="F10" s="8"/>
      <c r="G10" s="26">
        <f t="shared" si="2"/>
        <v>0</v>
      </c>
      <c r="H10" s="26"/>
      <c r="I10" s="169"/>
    </row>
    <row r="11">
      <c r="B11" s="169"/>
      <c r="C11" s="8"/>
      <c r="D11" s="8"/>
      <c r="E11" s="22"/>
      <c r="F11" s="8"/>
      <c r="G11" s="26">
        <f t="shared" si="2"/>
        <v>0</v>
      </c>
      <c r="H11" s="26"/>
      <c r="I11" s="169"/>
    </row>
    <row r="12">
      <c r="B12" s="169"/>
      <c r="C12" s="8"/>
      <c r="D12" s="8"/>
      <c r="E12" s="22"/>
      <c r="F12" s="8"/>
      <c r="G12" s="26">
        <f t="shared" si="2"/>
        <v>0</v>
      </c>
      <c r="H12" s="26"/>
      <c r="I12" s="169"/>
    </row>
    <row r="13">
      <c r="B13" s="169"/>
      <c r="C13" s="8"/>
      <c r="D13" s="8"/>
      <c r="E13" s="22"/>
      <c r="F13" s="8"/>
      <c r="G13" s="26">
        <f t="shared" si="2"/>
        <v>0</v>
      </c>
      <c r="H13" s="26"/>
      <c r="I13" s="169"/>
    </row>
    <row r="14">
      <c r="B14" s="169"/>
      <c r="C14" s="8"/>
      <c r="D14" s="8"/>
      <c r="E14" s="22"/>
      <c r="F14" s="8"/>
      <c r="G14" s="26">
        <f t="shared" si="2"/>
        <v>0</v>
      </c>
      <c r="H14" s="26"/>
      <c r="I14" s="169"/>
    </row>
    <row r="15">
      <c r="B15" s="169"/>
      <c r="C15" s="8"/>
      <c r="D15" s="8"/>
      <c r="E15" s="22"/>
      <c r="F15" s="8"/>
      <c r="G15" s="26">
        <f t="shared" si="2"/>
        <v>0</v>
      </c>
      <c r="H15" s="26"/>
      <c r="I15" s="169"/>
    </row>
    <row r="16">
      <c r="B16" s="169"/>
      <c r="C16" s="8"/>
      <c r="D16" s="8"/>
      <c r="E16" s="22"/>
      <c r="F16" s="8"/>
      <c r="G16" s="26">
        <f t="shared" si="2"/>
        <v>0</v>
      </c>
      <c r="H16" s="26"/>
      <c r="I16" s="169"/>
    </row>
    <row r="17">
      <c r="B17" s="169"/>
      <c r="C17" s="8"/>
      <c r="D17" s="8"/>
      <c r="E17" s="22"/>
      <c r="F17" s="8"/>
      <c r="G17" s="26">
        <f t="shared" si="2"/>
        <v>0</v>
      </c>
      <c r="H17" s="26"/>
      <c r="I17" s="169"/>
    </row>
    <row r="18">
      <c r="B18" s="169"/>
      <c r="C18" s="8"/>
      <c r="D18" s="8"/>
      <c r="E18" s="22"/>
      <c r="F18" s="8"/>
      <c r="G18" s="26">
        <f t="shared" si="2"/>
        <v>0</v>
      </c>
      <c r="H18" s="26"/>
      <c r="I18" s="169"/>
    </row>
    <row r="19">
      <c r="B19" s="169"/>
      <c r="C19" s="8"/>
      <c r="D19" s="8"/>
      <c r="E19" s="22"/>
      <c r="F19" s="8"/>
      <c r="G19" s="26">
        <f t="shared" si="2"/>
        <v>0</v>
      </c>
      <c r="H19" s="26"/>
      <c r="I19" s="169"/>
    </row>
    <row r="20">
      <c r="B20" s="169"/>
      <c r="C20" s="8"/>
      <c r="D20" s="8"/>
      <c r="E20" s="22"/>
      <c r="F20" s="8"/>
      <c r="G20" s="26">
        <f t="shared" si="2"/>
        <v>0</v>
      </c>
      <c r="H20" s="26"/>
      <c r="I20" s="169"/>
    </row>
    <row r="21" ht="15.75" customHeight="1">
      <c r="B21" s="169"/>
      <c r="C21" s="8"/>
      <c r="D21" s="8"/>
      <c r="E21" s="22"/>
      <c r="F21" s="8"/>
      <c r="G21" s="26">
        <f t="shared" si="2"/>
        <v>0</v>
      </c>
      <c r="H21" s="26"/>
      <c r="I21" s="169"/>
    </row>
    <row r="22" ht="15.75" customHeight="1">
      <c r="B22" s="169"/>
      <c r="C22" s="8"/>
      <c r="D22" s="8"/>
      <c r="E22" s="22"/>
      <c r="F22" s="8"/>
      <c r="G22" s="26">
        <f t="shared" si="2"/>
        <v>0</v>
      </c>
      <c r="H22" s="26"/>
      <c r="I22" s="169"/>
    </row>
    <row r="23" ht="15.75" customHeight="1">
      <c r="B23" s="169"/>
      <c r="C23" s="8"/>
      <c r="D23" s="8"/>
      <c r="E23" s="22"/>
      <c r="F23" s="8"/>
      <c r="G23" s="26">
        <f t="shared" si="2"/>
        <v>0</v>
      </c>
      <c r="H23" s="26"/>
      <c r="I23" s="169"/>
    </row>
    <row r="24" ht="15.75" customHeight="1">
      <c r="B24" s="8"/>
      <c r="C24" s="8"/>
      <c r="D24" s="8"/>
      <c r="E24" s="8"/>
      <c r="F24" s="8"/>
      <c r="G24" s="8"/>
      <c r="H24" s="8"/>
      <c r="I24" s="16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I1"/>
    <mergeCell ref="B3:B5"/>
    <mergeCell ref="H3:H5"/>
    <mergeCell ref="I3: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1.57"/>
    <col customWidth="1" min="4" max="4" width="13.43"/>
    <col customWidth="1" min="5" max="5" width="10.71"/>
    <col customWidth="1" min="6" max="6" width="12.29"/>
    <col customWidth="1" min="7" max="26" width="10.71"/>
  </cols>
  <sheetData>
    <row r="1" ht="25.5" customHeight="1">
      <c r="B1" s="7" t="s">
        <v>371</v>
      </c>
      <c r="C1" s="2"/>
      <c r="D1" s="2"/>
      <c r="E1" s="2"/>
      <c r="F1" s="2"/>
      <c r="G1" s="2"/>
      <c r="H1" s="2"/>
      <c r="I1" s="3"/>
    </row>
    <row r="2">
      <c r="B2" s="4" t="s">
        <v>4</v>
      </c>
      <c r="C2" s="11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6" t="s">
        <v>11</v>
      </c>
    </row>
    <row r="3">
      <c r="B3" s="170">
        <v>46026.0</v>
      </c>
      <c r="C3" s="171" t="s">
        <v>372</v>
      </c>
      <c r="D3" s="171">
        <v>400.0</v>
      </c>
      <c r="E3" s="172">
        <v>9.4</v>
      </c>
      <c r="F3" s="171">
        <v>72.0</v>
      </c>
      <c r="G3" s="41">
        <f>+F3*D3</f>
        <v>28800</v>
      </c>
      <c r="H3" s="41">
        <v>28800.0</v>
      </c>
      <c r="I3" s="42">
        <v>172.0</v>
      </c>
    </row>
    <row r="5">
      <c r="B5" s="39">
        <v>46048.0</v>
      </c>
      <c r="C5" s="156" t="s">
        <v>373</v>
      </c>
      <c r="D5" s="156">
        <v>300.0</v>
      </c>
      <c r="E5" s="172"/>
      <c r="F5" s="156">
        <v>55.0</v>
      </c>
      <c r="G5" s="41">
        <f t="shared" ref="G5:G23" si="1">+F5*D5</f>
        <v>16500</v>
      </c>
      <c r="H5" s="41">
        <f>G5</f>
        <v>16500</v>
      </c>
      <c r="I5" s="42">
        <v>207.0</v>
      </c>
    </row>
    <row r="6">
      <c r="B6" s="169"/>
      <c r="C6" s="8"/>
      <c r="D6" s="8"/>
      <c r="E6" s="22"/>
      <c r="F6" s="8"/>
      <c r="G6" s="26">
        <f t="shared" si="1"/>
        <v>0</v>
      </c>
      <c r="H6" s="26"/>
      <c r="I6" s="169"/>
    </row>
    <row r="7">
      <c r="B7" s="169"/>
      <c r="C7" s="8"/>
      <c r="D7" s="8"/>
      <c r="E7" s="22"/>
      <c r="F7" s="8"/>
      <c r="G7" s="26">
        <f t="shared" si="1"/>
        <v>0</v>
      </c>
      <c r="H7" s="26"/>
      <c r="I7" s="169"/>
    </row>
    <row r="8">
      <c r="B8" s="169"/>
      <c r="C8" s="8"/>
      <c r="D8" s="8"/>
      <c r="E8" s="22"/>
      <c r="F8" s="8"/>
      <c r="G8" s="26">
        <f t="shared" si="1"/>
        <v>0</v>
      </c>
      <c r="H8" s="26"/>
      <c r="I8" s="169"/>
    </row>
    <row r="9">
      <c r="B9" s="169"/>
      <c r="C9" s="8"/>
      <c r="D9" s="8"/>
      <c r="E9" s="22"/>
      <c r="F9" s="8"/>
      <c r="G9" s="26">
        <f t="shared" si="1"/>
        <v>0</v>
      </c>
      <c r="H9" s="26"/>
      <c r="I9" s="169"/>
    </row>
    <row r="10">
      <c r="B10" s="169"/>
      <c r="C10" s="8"/>
      <c r="D10" s="8"/>
      <c r="E10" s="22"/>
      <c r="F10" s="8"/>
      <c r="G10" s="26">
        <f t="shared" si="1"/>
        <v>0</v>
      </c>
      <c r="H10" s="26"/>
      <c r="I10" s="169"/>
    </row>
    <row r="11">
      <c r="B11" s="169"/>
      <c r="C11" s="8"/>
      <c r="D11" s="8"/>
      <c r="E11" s="22"/>
      <c r="F11" s="8"/>
      <c r="G11" s="26">
        <f t="shared" si="1"/>
        <v>0</v>
      </c>
      <c r="H11" s="26"/>
      <c r="I11" s="169"/>
    </row>
    <row r="12">
      <c r="B12" s="169"/>
      <c r="C12" s="8"/>
      <c r="D12" s="8"/>
      <c r="E12" s="22"/>
      <c r="F12" s="8"/>
      <c r="G12" s="26">
        <f t="shared" si="1"/>
        <v>0</v>
      </c>
      <c r="H12" s="26"/>
      <c r="I12" s="169"/>
    </row>
    <row r="13">
      <c r="B13" s="169"/>
      <c r="C13" s="8"/>
      <c r="D13" s="8"/>
      <c r="E13" s="22"/>
      <c r="F13" s="8"/>
      <c r="G13" s="26">
        <f t="shared" si="1"/>
        <v>0</v>
      </c>
      <c r="H13" s="26"/>
      <c r="I13" s="169"/>
    </row>
    <row r="14">
      <c r="B14" s="169"/>
      <c r="C14" s="8"/>
      <c r="D14" s="8"/>
      <c r="E14" s="22"/>
      <c r="F14" s="8"/>
      <c r="G14" s="26">
        <f t="shared" si="1"/>
        <v>0</v>
      </c>
      <c r="H14" s="26"/>
      <c r="I14" s="169"/>
    </row>
    <row r="15">
      <c r="B15" s="169"/>
      <c r="C15" s="8"/>
      <c r="D15" s="8"/>
      <c r="E15" s="22"/>
      <c r="F15" s="8"/>
      <c r="G15" s="26">
        <f t="shared" si="1"/>
        <v>0</v>
      </c>
      <c r="H15" s="26"/>
      <c r="I15" s="169"/>
    </row>
    <row r="16">
      <c r="B16" s="169"/>
      <c r="C16" s="8"/>
      <c r="D16" s="8"/>
      <c r="E16" s="22"/>
      <c r="F16" s="8"/>
      <c r="G16" s="26">
        <f t="shared" si="1"/>
        <v>0</v>
      </c>
      <c r="H16" s="26"/>
      <c r="I16" s="169"/>
    </row>
    <row r="17">
      <c r="B17" s="169"/>
      <c r="C17" s="8"/>
      <c r="D17" s="8"/>
      <c r="E17" s="22"/>
      <c r="F17" s="8"/>
      <c r="G17" s="26">
        <f t="shared" si="1"/>
        <v>0</v>
      </c>
      <c r="H17" s="26"/>
      <c r="I17" s="169"/>
    </row>
    <row r="18">
      <c r="B18" s="169"/>
      <c r="C18" s="8"/>
      <c r="D18" s="8"/>
      <c r="E18" s="22"/>
      <c r="F18" s="8"/>
      <c r="G18" s="26">
        <f t="shared" si="1"/>
        <v>0</v>
      </c>
      <c r="H18" s="26"/>
      <c r="I18" s="169"/>
    </row>
    <row r="19">
      <c r="B19" s="169"/>
      <c r="C19" s="8"/>
      <c r="D19" s="8"/>
      <c r="E19" s="22"/>
      <c r="F19" s="8"/>
      <c r="G19" s="26">
        <f t="shared" si="1"/>
        <v>0</v>
      </c>
      <c r="H19" s="26"/>
      <c r="I19" s="169"/>
    </row>
    <row r="20">
      <c r="B20" s="169"/>
      <c r="C20" s="8"/>
      <c r="D20" s="8"/>
      <c r="E20" s="22"/>
      <c r="F20" s="8"/>
      <c r="G20" s="26">
        <f t="shared" si="1"/>
        <v>0</v>
      </c>
      <c r="H20" s="26"/>
      <c r="I20" s="169"/>
    </row>
    <row r="21" ht="15.75" customHeight="1">
      <c r="B21" s="169"/>
      <c r="C21" s="8"/>
      <c r="D21" s="8"/>
      <c r="E21" s="22"/>
      <c r="F21" s="8"/>
      <c r="G21" s="26">
        <f t="shared" si="1"/>
        <v>0</v>
      </c>
      <c r="H21" s="26"/>
      <c r="I21" s="169"/>
    </row>
    <row r="22" ht="15.75" customHeight="1">
      <c r="B22" s="169"/>
      <c r="C22" s="8"/>
      <c r="D22" s="8"/>
      <c r="E22" s="22"/>
      <c r="F22" s="8"/>
      <c r="G22" s="26">
        <f t="shared" si="1"/>
        <v>0</v>
      </c>
      <c r="H22" s="26"/>
      <c r="I22" s="169"/>
    </row>
    <row r="23" ht="15.75" customHeight="1">
      <c r="B23" s="169"/>
      <c r="C23" s="8"/>
      <c r="D23" s="8"/>
      <c r="E23" s="22"/>
      <c r="F23" s="8"/>
      <c r="G23" s="26">
        <f t="shared" si="1"/>
        <v>0</v>
      </c>
      <c r="H23" s="26"/>
      <c r="I23" s="169"/>
    </row>
    <row r="24" ht="15.75" customHeight="1">
      <c r="B24" s="8"/>
      <c r="C24" s="8"/>
      <c r="D24" s="8"/>
      <c r="E24" s="8"/>
      <c r="F24" s="8"/>
      <c r="G24" s="8"/>
      <c r="H24" s="8"/>
      <c r="I24" s="16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I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3"/>
      <c r="B1" s="146" t="s">
        <v>374</v>
      </c>
      <c r="C1" s="2"/>
      <c r="D1" s="2"/>
      <c r="E1" s="2"/>
      <c r="F1" s="2"/>
      <c r="G1" s="2"/>
      <c r="H1" s="2"/>
      <c r="I1" s="3"/>
    </row>
    <row r="2">
      <c r="A2" s="143"/>
      <c r="B2" s="4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8" t="s">
        <v>11</v>
      </c>
    </row>
    <row r="3">
      <c r="A3" s="49"/>
      <c r="B3" s="39">
        <v>46060.0</v>
      </c>
      <c r="C3" s="15" t="s">
        <v>375</v>
      </c>
      <c r="D3" s="15">
        <v>790.0</v>
      </c>
      <c r="E3" s="174" t="s">
        <v>376</v>
      </c>
      <c r="F3" s="15">
        <v>170.0</v>
      </c>
      <c r="G3" s="17">
        <f>+F3*D3</f>
        <v>134300</v>
      </c>
      <c r="H3" s="41">
        <f>G3</f>
        <v>134300</v>
      </c>
      <c r="I3" s="42">
        <v>231.0</v>
      </c>
      <c r="J3" s="102" t="s">
        <v>377</v>
      </c>
    </row>
    <row r="5">
      <c r="B5" s="39">
        <v>46068.0</v>
      </c>
      <c r="C5" s="15" t="s">
        <v>375</v>
      </c>
      <c r="D5" s="15">
        <v>800.0</v>
      </c>
      <c r="E5" s="174" t="s">
        <v>376</v>
      </c>
      <c r="F5" s="15">
        <v>170.0</v>
      </c>
      <c r="G5" s="17">
        <f>+F5*D5</f>
        <v>136000</v>
      </c>
      <c r="H5" s="41">
        <f>G5</f>
        <v>136000</v>
      </c>
      <c r="I5" s="42">
        <v>241.0</v>
      </c>
      <c r="J5" s="102" t="s">
        <v>378</v>
      </c>
    </row>
    <row r="6">
      <c r="J6" s="102" t="s">
        <v>379</v>
      </c>
    </row>
  </sheetData>
  <mergeCells count="1">
    <mergeCell ref="B1:I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1.57"/>
    <col customWidth="1" min="4" max="4" width="13.43"/>
    <col customWidth="1" min="5" max="5" width="10.71"/>
    <col customWidth="1" min="6" max="6" width="12.29"/>
    <col customWidth="1" min="7" max="26" width="10.71"/>
  </cols>
  <sheetData>
    <row r="1" ht="24.0" customHeight="1">
      <c r="B1" s="1" t="s">
        <v>380</v>
      </c>
      <c r="C1" s="2"/>
      <c r="D1" s="2"/>
      <c r="E1" s="2"/>
      <c r="F1" s="2"/>
      <c r="G1" s="2"/>
      <c r="H1" s="2"/>
      <c r="I1" s="3"/>
    </row>
    <row r="2">
      <c r="B2" s="4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8" t="s">
        <v>11</v>
      </c>
    </row>
    <row r="3">
      <c r="B3" s="169"/>
      <c r="C3" s="8"/>
      <c r="D3" s="8"/>
      <c r="E3" s="22"/>
      <c r="F3" s="8"/>
      <c r="G3" s="26">
        <f t="shared" ref="G3:G23" si="1">+F3*D3</f>
        <v>0</v>
      </c>
      <c r="H3" s="26"/>
      <c r="I3" s="169"/>
    </row>
    <row r="4">
      <c r="B4" s="169"/>
      <c r="C4" s="8"/>
      <c r="D4" s="8"/>
      <c r="E4" s="22"/>
      <c r="F4" s="8"/>
      <c r="G4" s="26">
        <f t="shared" si="1"/>
        <v>0</v>
      </c>
      <c r="H4" s="26"/>
      <c r="I4" s="169"/>
    </row>
    <row r="5">
      <c r="B5" s="169"/>
      <c r="C5" s="8"/>
      <c r="D5" s="8"/>
      <c r="E5" s="22"/>
      <c r="F5" s="8"/>
      <c r="G5" s="26">
        <f t="shared" si="1"/>
        <v>0</v>
      </c>
      <c r="H5" s="26"/>
      <c r="I5" s="169"/>
    </row>
    <row r="6">
      <c r="B6" s="169"/>
      <c r="C6" s="8"/>
      <c r="D6" s="8"/>
      <c r="E6" s="22"/>
      <c r="F6" s="8"/>
      <c r="G6" s="26">
        <f t="shared" si="1"/>
        <v>0</v>
      </c>
      <c r="H6" s="26"/>
      <c r="I6" s="169"/>
    </row>
    <row r="7">
      <c r="B7" s="169"/>
      <c r="C7" s="8"/>
      <c r="D7" s="8"/>
      <c r="E7" s="22"/>
      <c r="F7" s="8"/>
      <c r="G7" s="26">
        <f t="shared" si="1"/>
        <v>0</v>
      </c>
      <c r="H7" s="26"/>
      <c r="I7" s="169"/>
    </row>
    <row r="8">
      <c r="B8" s="169"/>
      <c r="C8" s="8"/>
      <c r="D8" s="8"/>
      <c r="E8" s="22"/>
      <c r="F8" s="8"/>
      <c r="G8" s="26">
        <f t="shared" si="1"/>
        <v>0</v>
      </c>
      <c r="H8" s="26"/>
      <c r="I8" s="169"/>
    </row>
    <row r="9">
      <c r="B9" s="169"/>
      <c r="C9" s="8"/>
      <c r="D9" s="8"/>
      <c r="E9" s="22"/>
      <c r="F9" s="8"/>
      <c r="G9" s="26">
        <f t="shared" si="1"/>
        <v>0</v>
      </c>
      <c r="H9" s="26"/>
      <c r="I9" s="169"/>
    </row>
    <row r="10">
      <c r="B10" s="169"/>
      <c r="C10" s="8"/>
      <c r="D10" s="8"/>
      <c r="E10" s="22"/>
      <c r="F10" s="8"/>
      <c r="G10" s="26">
        <f t="shared" si="1"/>
        <v>0</v>
      </c>
      <c r="H10" s="26"/>
      <c r="I10" s="169"/>
    </row>
    <row r="11">
      <c r="B11" s="169"/>
      <c r="C11" s="8"/>
      <c r="D11" s="8"/>
      <c r="E11" s="22"/>
      <c r="F11" s="8"/>
      <c r="G11" s="26">
        <f t="shared" si="1"/>
        <v>0</v>
      </c>
      <c r="H11" s="26"/>
      <c r="I11" s="169"/>
    </row>
    <row r="12">
      <c r="B12" s="169"/>
      <c r="C12" s="8"/>
      <c r="D12" s="8"/>
      <c r="E12" s="22"/>
      <c r="F12" s="8"/>
      <c r="G12" s="26">
        <f t="shared" si="1"/>
        <v>0</v>
      </c>
      <c r="H12" s="26"/>
      <c r="I12" s="169"/>
    </row>
    <row r="13">
      <c r="B13" s="169"/>
      <c r="C13" s="8"/>
      <c r="D13" s="8"/>
      <c r="E13" s="22"/>
      <c r="F13" s="8"/>
      <c r="G13" s="26">
        <f t="shared" si="1"/>
        <v>0</v>
      </c>
      <c r="H13" s="26"/>
      <c r="I13" s="169"/>
    </row>
    <row r="14">
      <c r="B14" s="169"/>
      <c r="C14" s="8"/>
      <c r="D14" s="8"/>
      <c r="E14" s="22"/>
      <c r="F14" s="8"/>
      <c r="G14" s="26">
        <f t="shared" si="1"/>
        <v>0</v>
      </c>
      <c r="H14" s="26"/>
      <c r="I14" s="169"/>
    </row>
    <row r="15">
      <c r="B15" s="169"/>
      <c r="C15" s="8"/>
      <c r="D15" s="8"/>
      <c r="E15" s="22"/>
      <c r="F15" s="8"/>
      <c r="G15" s="26">
        <f t="shared" si="1"/>
        <v>0</v>
      </c>
      <c r="H15" s="26"/>
      <c r="I15" s="169"/>
    </row>
    <row r="16">
      <c r="B16" s="169"/>
      <c r="C16" s="8"/>
      <c r="D16" s="8"/>
      <c r="E16" s="22"/>
      <c r="F16" s="8"/>
      <c r="G16" s="26">
        <f t="shared" si="1"/>
        <v>0</v>
      </c>
      <c r="H16" s="26"/>
      <c r="I16" s="169"/>
    </row>
    <row r="17">
      <c r="B17" s="169"/>
      <c r="C17" s="8"/>
      <c r="D17" s="8"/>
      <c r="E17" s="22"/>
      <c r="F17" s="8"/>
      <c r="G17" s="26">
        <f t="shared" si="1"/>
        <v>0</v>
      </c>
      <c r="H17" s="26"/>
      <c r="I17" s="169"/>
    </row>
    <row r="18">
      <c r="B18" s="169"/>
      <c r="C18" s="8"/>
      <c r="D18" s="8"/>
      <c r="E18" s="22"/>
      <c r="F18" s="8"/>
      <c r="G18" s="26">
        <f t="shared" si="1"/>
        <v>0</v>
      </c>
      <c r="H18" s="26"/>
      <c r="I18" s="169"/>
    </row>
    <row r="19">
      <c r="B19" s="169"/>
      <c r="C19" s="8"/>
      <c r="D19" s="8"/>
      <c r="E19" s="22"/>
      <c r="F19" s="8"/>
      <c r="G19" s="26">
        <f t="shared" si="1"/>
        <v>0</v>
      </c>
      <c r="H19" s="26"/>
      <c r="I19" s="169"/>
    </row>
    <row r="20">
      <c r="B20" s="169"/>
      <c r="C20" s="8"/>
      <c r="D20" s="8"/>
      <c r="E20" s="22"/>
      <c r="F20" s="8"/>
      <c r="G20" s="26">
        <f t="shared" si="1"/>
        <v>0</v>
      </c>
      <c r="H20" s="26"/>
      <c r="I20" s="169"/>
    </row>
    <row r="21" ht="15.75" customHeight="1">
      <c r="B21" s="169"/>
      <c r="C21" s="8"/>
      <c r="D21" s="8"/>
      <c r="E21" s="22"/>
      <c r="F21" s="8"/>
      <c r="G21" s="26">
        <f t="shared" si="1"/>
        <v>0</v>
      </c>
      <c r="H21" s="26"/>
      <c r="I21" s="169"/>
    </row>
    <row r="22" ht="15.75" customHeight="1">
      <c r="B22" s="169"/>
      <c r="C22" s="8"/>
      <c r="D22" s="8"/>
      <c r="E22" s="22"/>
      <c r="F22" s="8"/>
      <c r="G22" s="26">
        <f t="shared" si="1"/>
        <v>0</v>
      </c>
      <c r="H22" s="26"/>
      <c r="I22" s="169"/>
    </row>
    <row r="23" ht="15.75" customHeight="1">
      <c r="B23" s="169"/>
      <c r="C23" s="8"/>
      <c r="D23" s="8"/>
      <c r="E23" s="22"/>
      <c r="F23" s="8"/>
      <c r="G23" s="26">
        <f t="shared" si="1"/>
        <v>0</v>
      </c>
      <c r="H23" s="26"/>
      <c r="I23" s="169"/>
    </row>
    <row r="24" ht="15.75" customHeight="1">
      <c r="B24" s="8"/>
      <c r="C24" s="8"/>
      <c r="D24" s="8"/>
      <c r="E24" s="8"/>
      <c r="F24" s="8"/>
      <c r="G24" s="8"/>
      <c r="H24" s="8"/>
      <c r="I24" s="16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2026-01-05T10:34:08Z</dcterms:created>
  <dc:creator>HP</dc:creator>
</cp:coreProperties>
</file>